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30" windowWidth="20640" windowHeight="9345"/>
  </bookViews>
  <sheets>
    <sheet name="Eq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prc6">[1]Precios!$L$22</definedName>
    <definedName name="acdul">[2]tablasVN!$D$21</definedName>
    <definedName name="acesp">[2]tablasVN!$D$22</definedName>
    <definedName name="acindec">[2]tablasVN!$F$131</definedName>
    <definedName name="aCLaccesoreadec">[3]Acc.Chimehuin_READEC!$R$26</definedName>
    <definedName name="aCLacondct">[1]Acond.Contratalud_c_coef!$R$28</definedName>
    <definedName name="aCLalcantarilla">#REF!</definedName>
    <definedName name="aCLalteo">'[1]Alteo de muros y guard_c_coef'!$S$34</definedName>
    <definedName name="aCLalteoreadec">'[3]Alteo de muros y guard_READEC'!$S$33</definedName>
    <definedName name="aclam">[2]tablasVN!$D$24</definedName>
    <definedName name="aCLApartido">#REF!</definedName>
    <definedName name="aCLapoyos">#REF!</definedName>
    <definedName name="aCLbacheo">#REF!</definedName>
    <definedName name="aCLbacheosan">#REF!</definedName>
    <definedName name="aCLbandason">#REF!</definedName>
    <definedName name="aCLbanquina">#REF!</definedName>
    <definedName name="aCLbaranda">[1]Baranda_c_coef!$S$117</definedName>
    <definedName name="aCLbase">#REF!</definedName>
    <definedName name="aCLcabezales">#REF!</definedName>
    <definedName name="aCLcalzadas">#REF!</definedName>
    <definedName name="aCLcarpeta">#REF!</definedName>
    <definedName name="aCLcarpetariego">#REF!</definedName>
    <definedName name="aCLCCura">#REF!</definedName>
    <definedName name="aCLCCurareadec">[3]Rep.Pte.C.Cura_READEC!$R$28</definedName>
    <definedName name="aCLciclovía">#REF!</definedName>
    <definedName name="aCLciclovíareadec">[3]CICLOVIA_READEC!$S$29</definedName>
    <definedName name="aCLcolumnas">#REF!</definedName>
    <definedName name="aCLcortepasto">#REF!</definedName>
    <definedName name="aCLdemolicion">#REF!</definedName>
    <definedName name="aCLdesembanque">#REF!</definedName>
    <definedName name="aCLdren">[1]Dren_c_coef!$S$31</definedName>
    <definedName name="aCLescarifbanq">#REF!</definedName>
    <definedName name="aCLescarificado">[1]Escarificado_c_coef!$T$45</definedName>
    <definedName name="aCLestribos">#REF!</definedName>
    <definedName name="aCLexcavacion">#REF!</definedName>
    <definedName name="aCLexcavacionreadec">[4]Excavacion_READEC!$T$40</definedName>
    <definedName name="aCLgaviones">[1]Gaviones_c_coef!$S$44</definedName>
    <definedName name="aCLhorC">#REF!</definedName>
    <definedName name="aCLhormigon">'[1]Hormigon_rep_de cunetas_c_coef'!$S$43</definedName>
    <definedName name="aCLimprimacion">[1]Imprimacion_c_coef!$S$33</definedName>
    <definedName name="aCLimprimacionreadec">'[4]Riego imprim_READEC'!$S$33</definedName>
    <definedName name="aCLimprimrefor">#REF!</definedName>
    <definedName name="aCLinvernal">#REF!</definedName>
    <definedName name="aCLjunta">#REF!</definedName>
    <definedName name="aCLjuntadil">#REF!</definedName>
    <definedName name="aCLjuntas">#REF!</definedName>
    <definedName name="aCLlimpieza">#REF!</definedName>
    <definedName name="aCLlimpseñales">#REF!</definedName>
    <definedName name="aCLlimptransp">'[1]Limpieza y traslado_c_coef'!$S$25</definedName>
    <definedName name="aCLlosa">#REF!</definedName>
    <definedName name="aCLmicroaglom">#REF!</definedName>
    <definedName name="aCLmicroaglomreadec">#REF!</definedName>
    <definedName name="aCLmicroreadec">[3]Microaglomerado_READEC!$S$33</definedName>
    <definedName name="aCLmontaje">#REF!</definedName>
    <definedName name="aCLpasamano">#REF!</definedName>
    <definedName name="aCLperfilado">'[5]perfilado_c_coef '!$T$35</definedName>
    <definedName name="aCLpilotes">#REF!</definedName>
    <definedName name="aCLpintado">#REF!</definedName>
    <definedName name="aCLpretiles">#REF!</definedName>
    <definedName name="aCLpretilesreadec">[6]Pretiles_c_coef_READEC!$S$92</definedName>
    <definedName name="aCLprolongacion">#REF!</definedName>
    <definedName name="aCLproteccion">#REF!</definedName>
    <definedName name="aCLrelleno">#REF!</definedName>
    <definedName name="aCLrellenoreadec">'[3]Relleno ahuellam_READEC'!$R$162</definedName>
    <definedName name="aCLrep8026">#REF!</definedName>
    <definedName name="aCLrep8026readec">[3]RepSocava80.26_READEC!$S$26</definedName>
    <definedName name="aCLrepalc">#REF!</definedName>
    <definedName name="aCLrestdrenaje">[1]Rest.Drenaje_c_coef!$T$40</definedName>
    <definedName name="aCLretderrumbe">'[1]Retiro Derrumbes_c_coef'!$T$40</definedName>
    <definedName name="aCLretrecolbaranda">'[1]Retiro y recol Baranda_c_coef'!$T$29</definedName>
    <definedName name="aCLRHermoso">#REF!</definedName>
    <definedName name="aCLRHermosoreadec">[3]Rep.IntegralPteRºHermoso_READEC!$S$26</definedName>
    <definedName name="aCLriego">#REF!</definedName>
    <definedName name="aCLrotondas">#REF!</definedName>
    <definedName name="aCLsandef">'[1]Saneamiento 1103_c_coef'!$S$26</definedName>
    <definedName name="aCLsellado">#REF!</definedName>
    <definedName name="aCLsenda">#REF!</definedName>
    <definedName name="aCLsendareadec">'[3]Senda Peatonal_READEC'!$S$29</definedName>
    <definedName name="aCLseñalamiento">#REF!</definedName>
    <definedName name="aCLseñalextrusion">#REF!</definedName>
    <definedName name="aCLseñalizacion">#REF!</definedName>
    <definedName name="aCLseñalvertreadec">'[4]Señal vertical_READEC'!$S$33</definedName>
    <definedName name="aCLsistdren1071">#REF!</definedName>
    <definedName name="aCLsubbase">#REF!</definedName>
    <definedName name="aCLterraplen">[1]Terraplen_c_coef!$T$40</definedName>
    <definedName name="aCLterrapreadec">[4]Terraplen_READEC!$T$40</definedName>
    <definedName name="aCLterrsincomp">#REF!</definedName>
    <definedName name="aCLtravesia">#REF!</definedName>
    <definedName name="aCLvigas">#REF!</definedName>
    <definedName name="aeir">'[7]ORIGEN MZ-98'!$I$33</definedName>
    <definedName name="am1cañodren">#REF!</definedName>
    <definedName name="am1cemento">#REF!</definedName>
    <definedName name="am1hierro">#REF!</definedName>
    <definedName name="aMacceso">#REF!</definedName>
    <definedName name="aMaccesoreadec">[3]Acc.Chimehuin_READEC!$U$32</definedName>
    <definedName name="aMacondct">[1]Acond.Contratalud_c_coef!$R$34</definedName>
    <definedName name="aMalcantarilla">'[8]Cómputo Recuperacion Redet.'!$T$46</definedName>
    <definedName name="aMalteo">'[1]Alteo de muros y guard_c_coef'!$S$40</definedName>
    <definedName name="aMalteoreadec">'[3]Alteo de muros y guard_READEC'!$S$39</definedName>
    <definedName name="aMApartido">#REF!</definedName>
    <definedName name="aMapoyos">#REF!</definedName>
    <definedName name="aMbacheo">#REF!</definedName>
    <definedName name="aMbacheosan">#REF!</definedName>
    <definedName name="aMbandason">#REF!</definedName>
    <definedName name="aMbanquina">#REF!</definedName>
    <definedName name="aMbaranda">[1]Baranda_c_coef!$S$123</definedName>
    <definedName name="aMbase">#REF!</definedName>
    <definedName name="aMcabezales">#REF!</definedName>
    <definedName name="aMcalzadas">#REF!</definedName>
    <definedName name="aMcarpeta">#REF!</definedName>
    <definedName name="aMcarpetariego">#REF!</definedName>
    <definedName name="aMCCura">#REF!</definedName>
    <definedName name="aMCCurareadec">[3]Rep.Pte.C.Cura_READEC!$U$34</definedName>
    <definedName name="aMciclovía">#REF!</definedName>
    <definedName name="aMciclovíareadec">[3]CICLOVIA_READEC!$V$35</definedName>
    <definedName name="aMcolumnas">#REF!</definedName>
    <definedName name="aMcortepasto">#REF!</definedName>
    <definedName name="aMdemolicion">#REF!</definedName>
    <definedName name="aMdesembanque">#REF!</definedName>
    <definedName name="aMdren">[1]Dren_c_coef!$S$37</definedName>
    <definedName name="aMEacceso">#REF!</definedName>
    <definedName name="aMEaccesoreadec">[3]Acc.Chimehuin_READEC!$Q$24</definedName>
    <definedName name="aMEacondct">[1]Acond.Contratalud_c_coef!$R$26</definedName>
    <definedName name="aMEalcantarilla">#REF!</definedName>
    <definedName name="aMEalteo">'[1]Alteo de muros y guard_c_coef'!$S$32</definedName>
    <definedName name="aMEalteoreadec">'[3]Alteo de muros y guard_READEC'!$S$31</definedName>
    <definedName name="aMEApartido">#REF!</definedName>
    <definedName name="aMEapoyos">#REF!</definedName>
    <definedName name="aMEbacheo">#REF!</definedName>
    <definedName name="aMEbacheosan">#REF!</definedName>
    <definedName name="aMEbandason">#REF!</definedName>
    <definedName name="aMEbanquina">#REF!</definedName>
    <definedName name="aMEbaranda">[1]Baranda_c_coef!$S$115</definedName>
    <definedName name="aMEcabezales">#REF!</definedName>
    <definedName name="aMEcalzadas">#REF!</definedName>
    <definedName name="aMEcarpeta">#REF!</definedName>
    <definedName name="aMEcarpetariego">#REF!</definedName>
    <definedName name="aMECCura">#REF!</definedName>
    <definedName name="aMECCurareadec">[3]Rep.Pte.C.Cura_READEC!$Q$26</definedName>
    <definedName name="aMEciclovía">#REF!</definedName>
    <definedName name="aMEciclovíareadec">[3]CICLOVIA_READEC!$R$27</definedName>
    <definedName name="aMEcolumnas">#REF!</definedName>
    <definedName name="aMEcortepasto">#REF!</definedName>
    <definedName name="aMEdemolicion">#REF!</definedName>
    <definedName name="aMEdesembanque">#REF!</definedName>
    <definedName name="aMEdren">[1]Dren_c_coef!$S$29</definedName>
    <definedName name="aMEescarifbanq">#REF!</definedName>
    <definedName name="aMEescarificado">#REF!</definedName>
    <definedName name="aMEescarificadoreadec">[4]Escarificado_READEC!$T$38</definedName>
    <definedName name="aMEestribos">#REF!</definedName>
    <definedName name="aMEexcavacion">#REF!</definedName>
    <definedName name="aMEexcavacionreadec">[4]Excavacion_READEC!$T$38</definedName>
    <definedName name="aMEgaviones">[1]Gaviones_c_coef!$S$42</definedName>
    <definedName name="aMEHermosoreadec">[3]Rep.IntegralPteRºHermoso_READEC!$R$24</definedName>
    <definedName name="aMEhorC">#REF!</definedName>
    <definedName name="aMEhormigon">'[1]Hormigon_rep_de cunetas_c_coef'!$S$41</definedName>
    <definedName name="aMEimprimacion">[1]Imprimacion_c_coef!$S$31</definedName>
    <definedName name="aMEimprimacionreadec">'[4]Riego imprim_READEC'!$S$31</definedName>
    <definedName name="aMEimprimrefor">#REF!</definedName>
    <definedName name="aMEinvernal">#REF!</definedName>
    <definedName name="aMEjunta">#REF!</definedName>
    <definedName name="aMEjuntadil">#REF!</definedName>
    <definedName name="aMEjuntas">#REF!</definedName>
    <definedName name="aMElimpieza">#REF!</definedName>
    <definedName name="aMElimpseñales">#REF!</definedName>
    <definedName name="aMElimptransp">'[1]Limpieza y traslado_c_coef'!$S$23</definedName>
    <definedName name="aMElosa">#REF!</definedName>
    <definedName name="aMEmicroaglom">#REF!</definedName>
    <definedName name="aMEmicroaglomreadec">#REF!</definedName>
    <definedName name="aMEmicroreadec">[3]Microaglomerado_READEC!$S$31</definedName>
    <definedName name="aMEmontaje">#REF!</definedName>
    <definedName name="aMEpasamano">#REF!</definedName>
    <definedName name="aMEperfilado">'[5]perfilado_c_coef '!$T$33</definedName>
    <definedName name="aMEpilotes">#REF!</definedName>
    <definedName name="aMEpintado">#REF!</definedName>
    <definedName name="aMEpretiles">#REF!</definedName>
    <definedName name="aMEpretilesreadec">[6]Pretiles_c_coef_READEC!$S$90</definedName>
    <definedName name="aMEprolongacion">#REF!</definedName>
    <definedName name="aMEprolongacionreadec">'[9]Prolongacion alc_READEC'!$S$32</definedName>
    <definedName name="aMEproteccion">#REF!</definedName>
    <definedName name="aMErelleno">#REF!</definedName>
    <definedName name="aMErellenoreadec">'[3]Relleno ahuellam_READEC'!$R$160</definedName>
    <definedName name="aMErep8026">#REF!</definedName>
    <definedName name="aMErep8026readec">[3]RepSocava80.26_READEC!$R$24</definedName>
    <definedName name="aMErepalc">#REF!</definedName>
    <definedName name="aMErestdrenaje">[1]Rest.Drenaje_c_coef!$T$38</definedName>
    <definedName name="aMErestdrenajereadec">[9]Rest.Drenaje_READEC!$T$38</definedName>
    <definedName name="aMEretderrumbe">'[1]Retiro Derrumbes_c_coef'!$T$38</definedName>
    <definedName name="aMEretrecolbaranda">'[1]Retiro y recol Baranda_c_coef'!$T$27</definedName>
    <definedName name="aMERHermoso">#REF!</definedName>
    <definedName name="aMEriego">#REF!</definedName>
    <definedName name="aMErotondas">#REF!</definedName>
    <definedName name="aMEsandef">'[1]Saneamiento 1103_c_coef'!$R$24</definedName>
    <definedName name="aMescarifbanq">#REF!</definedName>
    <definedName name="aMescarificado">#REF!</definedName>
    <definedName name="aMEsellado">#REF!</definedName>
    <definedName name="aMEsenda">#REF!</definedName>
    <definedName name="aMEsendareadec">'[3]Senda Peatonal_READEC'!$R$27</definedName>
    <definedName name="aMEseñalamiento">#REF!</definedName>
    <definedName name="aMEseñalamientoreadec">[9]Señalvertical_READEC!$S$31</definedName>
    <definedName name="aMEseñalextrusion">#REF!</definedName>
    <definedName name="aMEseñalextrusionreadec">'[9]SeñHoriz extrusion_READEC'!$S$43</definedName>
    <definedName name="aMEseñalizacion">#REF!</definedName>
    <definedName name="aMEseñalizacionreadec">[9]SeñHoriz_READEC!$S$43</definedName>
    <definedName name="aMEseñalvertreadec">'[4]Señal vertical_READEC'!$S$31</definedName>
    <definedName name="aMEsistdren1071">#REF!</definedName>
    <definedName name="aMestribos">#REF!</definedName>
    <definedName name="aMEsubbase">#REF!</definedName>
    <definedName name="aMEterraplen">[1]Terraplen_c_coef!$T$38</definedName>
    <definedName name="aMEterrapreadec">[4]Terraplen_READEC!$T$38</definedName>
    <definedName name="aMEterrsincomp">#REF!</definedName>
    <definedName name="aMEtravesia">#REF!</definedName>
    <definedName name="aMEvigas">#REF!</definedName>
    <definedName name="aMexcavacion">#REF!</definedName>
    <definedName name="aMexcavacionreadec">[4]Excavacion_READEC!$T$46</definedName>
    <definedName name="aMgaviones">[1]Gaviones_c_coef!$S$50</definedName>
    <definedName name="aMHermosoreadec">[3]Rep.IntegralPteRºHermoso_READEC!$V$32</definedName>
    <definedName name="aMhorC">#REF!</definedName>
    <definedName name="aMhormigon">'[1]Hormigon_rep_de cunetas_c_coef'!$S$49</definedName>
    <definedName name="aMimprimacion">[1]Imprimacion_c_coef!$S$39</definedName>
    <definedName name="aMimprimacionreadec">'[4]Riego imprim_READEC'!$S$39</definedName>
    <definedName name="aMimprimrefor">#REF!</definedName>
    <definedName name="aMinvernal">#REF!</definedName>
    <definedName name="aMjunta">#REF!</definedName>
    <definedName name="aMjuntadil">#REF!</definedName>
    <definedName name="aMjuntas">#REF!</definedName>
    <definedName name="aMlimpieza">#REF!</definedName>
    <definedName name="aMlimpseñales">#REF!</definedName>
    <definedName name="aMlimptransp">'[1]Limpieza y traslado_c_coef'!$S$31</definedName>
    <definedName name="aMlosa">#REF!</definedName>
    <definedName name="aMmatbase">[10]Base_c_coef!$S$62</definedName>
    <definedName name="aMmicroaglem">#REF!</definedName>
    <definedName name="aMmicroaglom">#REF!</definedName>
    <definedName name="aMmicroaglomreadec">#REF!</definedName>
    <definedName name="aMmicroreadec">[3]Microaglomerado_READEC!$S$39</definedName>
    <definedName name="aMmontaje">#REF!</definedName>
    <definedName name="aMOacceso">#REF!</definedName>
    <definedName name="aMOaccesoreadec">[3]Acc.Chimehuin_READEC!$S$28</definedName>
    <definedName name="aMOacondct">[1]Acond.Contratalud_c_coef!$R$30</definedName>
    <definedName name="aMOalcantarilla">#REF!</definedName>
    <definedName name="aMOalcantarillareadec">[9]Alcantarilla_READEC!$T$42</definedName>
    <definedName name="aMOalteo">'[1]Alteo de muros y guard_c_coef'!$S$36</definedName>
    <definedName name="aMOalteoreadec">'[3]Alteo de muros y guard_READEC'!$S$35</definedName>
    <definedName name="aMOApartido">#REF!</definedName>
    <definedName name="aMOapoyos">#REF!</definedName>
    <definedName name="aMObacheo">#REF!</definedName>
    <definedName name="aMObacheosan">#REF!</definedName>
    <definedName name="aMObandason">#REF!</definedName>
    <definedName name="aMObanquina">#REF!</definedName>
    <definedName name="aMObaranda">[1]Baranda_c_coef!$S$119</definedName>
    <definedName name="aMObarandareadec">[9]Baranda_READEC!$S$119</definedName>
    <definedName name="aMObase">[1]Base_c_coef!$S$58</definedName>
    <definedName name="aMOcabezales">#REF!</definedName>
    <definedName name="aMOcalzadahorm">#REF!</definedName>
    <definedName name="aMOcalzadas">#REF!</definedName>
    <definedName name="aMOcarpeta">#REF!</definedName>
    <definedName name="aMOcarpetariego">#REF!</definedName>
    <definedName name="aMOCCura">#REF!</definedName>
    <definedName name="aMOCCurareadec">[3]Rep.Pte.C.Cura_READEC!$S$30</definedName>
    <definedName name="aMOciclovía">#REF!</definedName>
    <definedName name="aMOciclovíareadec">[3]CICLOVIA_READEC!$T$31</definedName>
    <definedName name="aMOcolumnas">#REF!</definedName>
    <definedName name="aMOcortepasto">#REF!</definedName>
    <definedName name="aMOdemolicion">#REF!</definedName>
    <definedName name="aMOdesembanque">#REF!</definedName>
    <definedName name="aMOdren">[1]Dren_c_coef!$S$33</definedName>
    <definedName name="aMOescarifbanq">#REF!</definedName>
    <definedName name="aMOescarificado">[1]Escarificado_c_coef!$T$47</definedName>
    <definedName name="aMOestribos">#REF!</definedName>
    <definedName name="aMOexcavacion">#REF!</definedName>
    <definedName name="aMOexcavacionreadec">[4]Excavacion_READEC!$T$42</definedName>
    <definedName name="aMOgaviones">#REF!</definedName>
    <definedName name="aMOHermosoreadec">[3]Rep.IntegralPteRºHermoso_READEC!$T$28</definedName>
    <definedName name="aMOhorC">#REF!</definedName>
    <definedName name="aMOhormigon">'[1]Hormigon_rep_de cunetas_c_coef'!$S$45</definedName>
    <definedName name="aMOimprimacion">[1]Imprimacion_c_coef!$S$35</definedName>
    <definedName name="aMOimprimacionreadec">'[4]Riego imprim_READEC'!$S$35</definedName>
    <definedName name="aMOimprimrefor">#REF!</definedName>
    <definedName name="aMOinvernal">#REF!</definedName>
    <definedName name="aMOjunta">#REF!</definedName>
    <definedName name="aMOjuntadil">#REF!</definedName>
    <definedName name="aMOjuntas">#REF!</definedName>
    <definedName name="aMOlimpieza">#REF!</definedName>
    <definedName name="aMOlimpseñales">#REF!</definedName>
    <definedName name="aMOlimptransp">'[1]Limpieza y traslado_c_coef'!$S$27</definedName>
    <definedName name="aMOlosa">#REF!</definedName>
    <definedName name="aMOmatbase">[10]Base_c_coef!$S$58</definedName>
    <definedName name="aMOmicroaglom">#REF!</definedName>
    <definedName name="aMOmicroaglomreadec">#REF!</definedName>
    <definedName name="aMOmicroreadec">[3]Microaglomerado_READEC!$S$35</definedName>
    <definedName name="aMOmontaje">#REF!</definedName>
    <definedName name="aMOpasamano">#REF!</definedName>
    <definedName name="aMOperfilado">'[5]perfilado_c_coef '!$T$37</definedName>
    <definedName name="aMOpintado">#REF!</definedName>
    <definedName name="aMOpretiles">#REF!</definedName>
    <definedName name="aMOpretilesreadec">[6]Pretiles_c_coef_READEC!$S$94</definedName>
    <definedName name="aMOprolongacion">#REF!</definedName>
    <definedName name="aMOprolongacionreadec">'[9]Prolongacion alc_READEC'!$S$36</definedName>
    <definedName name="aMOproteccion">#REF!</definedName>
    <definedName name="aMOrelleno">#REF!</definedName>
    <definedName name="aMOrellenoreadec">'[3]Relleno ahuellam_READEC'!$R$164</definedName>
    <definedName name="aMOrep8026">#REF!</definedName>
    <definedName name="aMOrep8026readec">[3]RepSocava80.26_READEC!$T$28</definedName>
    <definedName name="aMOrepalc">#REF!</definedName>
    <definedName name="aMOrestdrenaje">[1]Rest.Drenaje_c_coef!$T$42</definedName>
    <definedName name="aMOrestdrenajereadec">[9]Rest.Drenaje_READEC!$T$42</definedName>
    <definedName name="aMOretderrumbe">'[1]Retiro Derrumbes_c_coef'!$T$42</definedName>
    <definedName name="aMOretrecolbaranda">'[1]Retiro y recol Baranda_c_coef'!$T$31</definedName>
    <definedName name="aMOrexcavacion">#REF!</definedName>
    <definedName name="aMORHermoso">#REF!</definedName>
    <definedName name="aMOriego">#REF!</definedName>
    <definedName name="aMOrotondas">#REF!</definedName>
    <definedName name="aMOsandef">'[1]Saneamiento 1103_c_coef'!$T$28</definedName>
    <definedName name="aMOsellado">#REF!</definedName>
    <definedName name="aMOsenda">#REF!</definedName>
    <definedName name="aMOsendareadec">'[3]Senda Peatonal_READEC'!$T$31</definedName>
    <definedName name="aMOseñalamiento">#REF!</definedName>
    <definedName name="aMOseñalamientoreadec">[9]Señalvertical_READEC!$S$35</definedName>
    <definedName name="aMOseñalextrusion">#REF!</definedName>
    <definedName name="aMOseñalextrusionreadec">'[9]SeñHoriz extrusion_READEC'!$S$47</definedName>
    <definedName name="aMOseñalizacion">#REF!</definedName>
    <definedName name="aMOseñalizacionreadec">[9]SeñHoriz_READEC!$S$47</definedName>
    <definedName name="aMOseñalvertreadec">'[4]Señal vertical_READEC'!$S$35</definedName>
    <definedName name="aMOsistdren1071">#REF!</definedName>
    <definedName name="aMOsubbase">#REF!</definedName>
    <definedName name="aMOterraplen">[1]Terraplen_c_coef!$T$42</definedName>
    <definedName name="aMOterrapreadec">[4]Terraplen_READEC!$T$42</definedName>
    <definedName name="aMOterrsincomp">#REF!</definedName>
    <definedName name="aMOtravesia">#REF!</definedName>
    <definedName name="aMOvigas">#REF!</definedName>
    <definedName name="aMpasamano">#REF!</definedName>
    <definedName name="aMperfilado">'[5]perfilado_c_coef '!$T$41</definedName>
    <definedName name="aMpilotes">#REF!</definedName>
    <definedName name="aMpintado">#REF!</definedName>
    <definedName name="aMpretiles">#REF!</definedName>
    <definedName name="aMpretilesreadec">[6]Pretiles_c_coef_READEC!$S$98</definedName>
    <definedName name="aMprolongacion">#REF!</definedName>
    <definedName name="aMprolongacionreadec">'[9]Prolongacion alc_READEC'!$S$40</definedName>
    <definedName name="aMproteccion">#REF!</definedName>
    <definedName name="aMrelleno">#REF!</definedName>
    <definedName name="aMrellenoreadec">'[3]Relleno ahuellam_READEC'!$R$168</definedName>
    <definedName name="aMrep8026">#REF!</definedName>
    <definedName name="aMrep8026readec">[3]RepSocava80.26_READEC!$V$32</definedName>
    <definedName name="aMrepalc">#REF!</definedName>
    <definedName name="aMrestdrenaje">[1]Rest.Drenaje_c_coef!$T$46</definedName>
    <definedName name="aMrestdrenajereadec">[9]Rest.Drenaje_READEC!$T$46</definedName>
    <definedName name="aMretderrumbe">'[1]Retiro Derrumbes_c_coef'!$T$46</definedName>
    <definedName name="aMretrecolbaranda">'[1]Retiro y recol Baranda_c_coef'!$T$35</definedName>
    <definedName name="aMRHermoso">#REF!</definedName>
    <definedName name="aMriego">#REF!</definedName>
    <definedName name="aMrotondas">#REF!</definedName>
    <definedName name="aMsandef">'[1]Saneamiento 1103_c_coef'!$V$32</definedName>
    <definedName name="aMsellado">#REF!</definedName>
    <definedName name="aMsenda">#REF!</definedName>
    <definedName name="aMsendareadec">'[3]Senda Peatonal_READEC'!$V$35</definedName>
    <definedName name="aMseñalamiento">#REF!</definedName>
    <definedName name="aMseñalamientoreadec">[9]Señalvertical_READEC!$S$39</definedName>
    <definedName name="aMseñalextrusion">#REF!</definedName>
    <definedName name="aMseñalextrusionreadec">'[9]SeñHoriz extrusion_READEC'!$S$51</definedName>
    <definedName name="aMseñalizacion">#REF!</definedName>
    <definedName name="aMseñalizacionreadec">[9]SeñHoriz_READEC!$S$51</definedName>
    <definedName name="aMseñalvertreadec">'[4]Señal vertical_READEC'!$S$39</definedName>
    <definedName name="aMsistdren1071">#REF!</definedName>
    <definedName name="aMsubbase">#REF!</definedName>
    <definedName name="aMterraplen">[1]Terraplen_c_coef!$T$46</definedName>
    <definedName name="aMterrapreadec">[4]Terraplen_READEC!$T$46</definedName>
    <definedName name="aMterrsincomp">#REF!</definedName>
    <definedName name="aMtravesia">#REF!</definedName>
    <definedName name="aMvigas">#REF!</definedName>
    <definedName name="_xlnm.Print_Area" localSheetId="0">Eq!$B$1:$S$71</definedName>
    <definedName name="AREA1">#REF!</definedName>
    <definedName name="AREA2">#REF!</definedName>
    <definedName name="armco">[2]tablasVN!$D$96</definedName>
    <definedName name="at1cañodren">#REF!</definedName>
    <definedName name="at1cemento">#REF!</definedName>
    <definedName name="at1hierro">#REF!</definedName>
    <definedName name="aTacceso">#REF!</definedName>
    <definedName name="aTaccesoreadec">[3]Acc.Chimehuin_READEC!$T$30</definedName>
    <definedName name="aTacondct">[1]Acond.Contratalud_c_coef!$R$32</definedName>
    <definedName name="aTalcantarilla">#REF!</definedName>
    <definedName name="aTalcantarillareadec">[9]Alcantarilla_READEC!$T$44</definedName>
    <definedName name="aTalteo">'[1]Alteo de muros y guard_c_coef'!$S$38</definedName>
    <definedName name="aTalteoreadec">'[3]Alteo de muros y guard_READEC'!$S$37</definedName>
    <definedName name="aTApartido">#REF!</definedName>
    <definedName name="aTbacheo">#REF!</definedName>
    <definedName name="aTbacheosan">#REF!</definedName>
    <definedName name="aTbandason">#REF!</definedName>
    <definedName name="aTbanquina">#REF!</definedName>
    <definedName name="aTbaranda">[1]Baranda_c_coef!$S$121</definedName>
    <definedName name="aTbarandareadec">[9]Baranda_READEC!$S$121</definedName>
    <definedName name="aTbase">[1]Base_c_coef!$S$60</definedName>
    <definedName name="aTcabezales">#REF!</definedName>
    <definedName name="aTcalzadahorm">#REF!</definedName>
    <definedName name="aTcalzadas">#REF!</definedName>
    <definedName name="aTcarpeta">#REF!</definedName>
    <definedName name="aTcarpetariego">#REF!</definedName>
    <definedName name="aTCCura">#REF!</definedName>
    <definedName name="aTCCurareadec">[3]Rep.Pte.C.Cura_READEC!$T$32</definedName>
    <definedName name="aTciclovía">#REF!</definedName>
    <definedName name="aTciclovíareadec">[3]CICLOVIA_READEC!$U$33</definedName>
    <definedName name="aTcolumnas">#REF!</definedName>
    <definedName name="aTcortepasto">#REF!</definedName>
    <definedName name="aTdemolicion">#REF!</definedName>
    <definedName name="aTdesembanque">#REF!</definedName>
    <definedName name="aTdren">[1]Dren_c_coef!$S$35</definedName>
    <definedName name="aTescarifbanq">#REF!</definedName>
    <definedName name="aTescarificado">[1]Escarificado_c_coef!$T$49</definedName>
    <definedName name="aTestribos">#REF!</definedName>
    <definedName name="aTexcavacion">#REF!</definedName>
    <definedName name="aTexcavacionreadec">[4]Excavacion_READEC!$T$44</definedName>
    <definedName name="aTgaviones">[1]Gaviones_c_coef!$S$48</definedName>
    <definedName name="aTHermosoreadec">[3]Rep.IntegralPteRºHermoso_READEC!$U$30</definedName>
    <definedName name="aThorC">#REF!</definedName>
    <definedName name="aThormigon">'[1]Hormigon_rep_de cunetas_c_coef'!$S$47</definedName>
    <definedName name="aTimprimacion">[1]Imprimacion_c_coef!$S$37</definedName>
    <definedName name="aTimprimacionreadec">'[4]Riego imprim_READEC'!$S$37</definedName>
    <definedName name="aTimprimrefor">#REF!</definedName>
    <definedName name="aTinvernal">#REF!</definedName>
    <definedName name="aTjunta">#REF!</definedName>
    <definedName name="aTjuntadil">#REF!</definedName>
    <definedName name="aTjuntas">#REF!</definedName>
    <definedName name="aTlimpieza">#REF!</definedName>
    <definedName name="aTlimpseñales">#REF!</definedName>
    <definedName name="aTlimptransp">'[1]Limpieza y traslado_c_coef'!$S$29</definedName>
    <definedName name="aTlosa">#REF!</definedName>
    <definedName name="aTmatbase">[10]Base_c_coef!$S$60</definedName>
    <definedName name="aTmicroaglom">#REF!</definedName>
    <definedName name="aTmicroaglomreadec">#REF!</definedName>
    <definedName name="aTmicroreadec">[3]Microaglomerado_READEC!$S$37</definedName>
    <definedName name="aTmontaje">#REF!</definedName>
    <definedName name="aTpasamano">#REF!</definedName>
    <definedName name="aTperfilado">'[5]perfilado_c_coef '!$T$39</definedName>
    <definedName name="aTpilotes">#REF!</definedName>
    <definedName name="aTpintado">#REF!</definedName>
    <definedName name="aTpretiles">#REF!</definedName>
    <definedName name="aTpretilesreadec">[6]Pretiles_c_coef_READEC!$S$96</definedName>
    <definedName name="aTprolongacion">#REF!</definedName>
    <definedName name="aTprolongacionreadec">'[9]Prolongacion alc_READEC'!$S$38</definedName>
    <definedName name="aTproteccion">#REF!</definedName>
    <definedName name="aTrelleno">#REF!</definedName>
    <definedName name="aTrellenoreadec">'[3]Relleno ahuellam_READEC'!$R$166</definedName>
    <definedName name="aTrep8026">#REF!</definedName>
    <definedName name="aTrep8026readec">[3]RepSocava80.26_READEC!$U$30</definedName>
    <definedName name="aTrepalc">#REF!</definedName>
    <definedName name="aTrepalcreadec">#REF!</definedName>
    <definedName name="aTrestdrenaje">[1]Rest.Drenaje_c_coef!$T$44</definedName>
    <definedName name="aTrestdrenajereadec">[9]Rest.Drenaje_READEC!$T$44</definedName>
    <definedName name="aTretderrumbe">'[1]Retiro Derrumbes_c_coef'!$T$44</definedName>
    <definedName name="aTretrecolbaranda">'[1]Retiro y recol Baranda_c_coef'!$T$33</definedName>
    <definedName name="aTRHermoso">#REF!</definedName>
    <definedName name="aTriego">#REF!</definedName>
    <definedName name="aTrotondas">#REF!</definedName>
    <definedName name="aTsandef">'[1]Saneamiento 1103_c_coef'!$U$30</definedName>
    <definedName name="aTsellado">#REF!</definedName>
    <definedName name="aTsenda">#REF!</definedName>
    <definedName name="aTsendareadec">'[3]Senda Peatonal_READEC'!$U$33</definedName>
    <definedName name="aTseñalamiento">#REF!</definedName>
    <definedName name="aTseñalamientoreadec">[9]Señalvertical_READEC!$S$37</definedName>
    <definedName name="aTseñalextrusion">#REF!</definedName>
    <definedName name="aTseñalextrusionreadec">'[9]SeñHoriz extrusion_READEC'!$S$49</definedName>
    <definedName name="aTseñalizacion">#REF!</definedName>
    <definedName name="aTseñalizacionreadec">[9]SeñHoriz_READEC!$S$49</definedName>
    <definedName name="aTseñalvertreadec">'[4]Señal vertical_READEC'!$S$37</definedName>
    <definedName name="aTsistdren1071">#REF!</definedName>
    <definedName name="aTsubbase">#REF!</definedName>
    <definedName name="aTterraplen">[1]Terraplen_c_coef!$T$44</definedName>
    <definedName name="aTterrapreadec">[4]Terraplen_READEC!$T$44</definedName>
    <definedName name="aTterrsincomp">#REF!</definedName>
    <definedName name="aTtravesia">#REF!</definedName>
    <definedName name="aTvigas">#REF!</definedName>
    <definedName name="Ayudante">#REF!</definedName>
    <definedName name="ayudr">'[11]ORIGEN MZ-98'!$F$48</definedName>
    <definedName name="ca">[2]tablasVN!$D$92</definedName>
    <definedName name="Caeacceso">#REF!</definedName>
    <definedName name="Caeacondct">[1]Acond.Contratalud_c_coef!$T$41</definedName>
    <definedName name="Caealcantarilla">#REF!</definedName>
    <definedName name="Caealcantarillareadec">[9]Alcantarilla_READEC!$W$18</definedName>
    <definedName name="Caealteomyg">'[1]Alteo de muros y guard_c_coef'!$V$49</definedName>
    <definedName name="CaeApartido">#REF!</definedName>
    <definedName name="Caeapoyos">#REF!</definedName>
    <definedName name="Caebacheo">#REF!</definedName>
    <definedName name="Caebandason">#REF!</definedName>
    <definedName name="Caebandasonreadec">[9]BandasOSonoras_READEC!$V$21</definedName>
    <definedName name="Caebanquina">#REF!</definedName>
    <definedName name="Caebaranda">[1]Baranda_c_coef!$U$88</definedName>
    <definedName name="Caebarandareadec">[9]Baranda_READEC!$U$88</definedName>
    <definedName name="Caebase">[1]Base_c_coef!$W$27</definedName>
    <definedName name="Caecabezales">#REF!</definedName>
    <definedName name="Caecalzadahorm">#REF!</definedName>
    <definedName name="Caecalzadas">#REF!</definedName>
    <definedName name="Caecarpeta">#REF!</definedName>
    <definedName name="Caecarpetariego">#REF!</definedName>
    <definedName name="CaeCCura">#REF!</definedName>
    <definedName name="Caeciclovía">#REF!</definedName>
    <definedName name="Caecolumnas">#REF!</definedName>
    <definedName name="Caecortepasto">#REF!</definedName>
    <definedName name="Caedemolicion">#REF!</definedName>
    <definedName name="Caedesembanque">#REF!</definedName>
    <definedName name="Caeescarifbanq">#REF!</definedName>
    <definedName name="Caeescarificado">[1]Escarificado_c_coef!$V$20</definedName>
    <definedName name="Caeestribos">#REF!</definedName>
    <definedName name="Caeexcavacion">#REF!</definedName>
    <definedName name="Caeexcavacionreadec">[4]Excavacion_READEC!$W$18</definedName>
    <definedName name="Caegaviones">[1]Gaviones_c_coef!$V$21</definedName>
    <definedName name="Caehor">'[1]Hormigon_rep_de cunetas_c_coef'!$V$20</definedName>
    <definedName name="CaehorC">#REF!</definedName>
    <definedName name="CaehorCreadec">'[4]Hormigon_CLASE "C"_READEC'!$V$20</definedName>
    <definedName name="Caeimprimacion">[1]Imprimacion_c_coef!$U$48</definedName>
    <definedName name="Caeimprimrefor">#REF!</definedName>
    <definedName name="Caeinvernal">#REF!</definedName>
    <definedName name="Caejunta">#REF!</definedName>
    <definedName name="Caejuntadil">#REF!</definedName>
    <definedName name="Caejuntas">#REF!</definedName>
    <definedName name="Caelimpieza">#REF!</definedName>
    <definedName name="Caelimpseñales">#REF!</definedName>
    <definedName name="Caelimptransp">'[1]Limpieza y traslado_c_coef'!$V$44</definedName>
    <definedName name="Caelosa">#REF!</definedName>
    <definedName name="Caematbase">[10]Base_c_coef!$W$27</definedName>
    <definedName name="Caemicroaglom">#REF!</definedName>
    <definedName name="Caemicroaglomreadec">#REF!</definedName>
    <definedName name="Caepasamano">#REF!</definedName>
    <definedName name="Caeperfilado">'[5]perfilado_c_coef '!$V$8</definedName>
    <definedName name="Caepintado">#REF!</definedName>
    <definedName name="Caepretiles">#REF!</definedName>
    <definedName name="Caeprolongacion">#REF!</definedName>
    <definedName name="Caeprolongacionreadec">'[9]Prolongacion alc_READEC'!$V$49</definedName>
    <definedName name="Caeproteccion">#REF!</definedName>
    <definedName name="Caereadsistdren1071">'[12]Read_Sist_Drenaje Pr1071_c_coef'!$V$36</definedName>
    <definedName name="Caerelleno">#REF!</definedName>
    <definedName name="CaeRep8026">#REF!</definedName>
    <definedName name="Caerepalc">#REF!</definedName>
    <definedName name="Caerestdrenajereadec">[4]Rest.Drenaje_READEC!$W$18</definedName>
    <definedName name="Caeretderrumbe">'[1]Retiro Derrumbes_c_coef'!$W$18</definedName>
    <definedName name="Caeretrecolbaranda">'[1]Retiro y recol Baranda_c_coef'!$V$44</definedName>
    <definedName name="CaeRHermoso">#REF!</definedName>
    <definedName name="Caeriego">#REF!</definedName>
    <definedName name="Caerotondas">#REF!</definedName>
    <definedName name="Caesandef">'[1]Saneamiento 1103_c_coef'!$Y$25</definedName>
    <definedName name="Caesellado">#REF!</definedName>
    <definedName name="Caesenda">#REF!</definedName>
    <definedName name="Caeseñalamiento">#REF!</definedName>
    <definedName name="Caeseñalamientoreadec">[9]Señalvertical_READEC!$U$48</definedName>
    <definedName name="Caeseñalextrusion">#REF!</definedName>
    <definedName name="Caeseñalextrusionreadec">'[9]SeñHoriz extrusion_READEC'!$V$19</definedName>
    <definedName name="Caeseñalizacion">#REF!</definedName>
    <definedName name="Caeseñalizacionreadec">[9]SeñHoriz_READEC!$V$19</definedName>
    <definedName name="Caeseñalvertreadec">'[4]Señal vertical_READEC'!$U$48</definedName>
    <definedName name="Caesistdren">[1]Rest.Drenaje_c_coef!$W$18</definedName>
    <definedName name="Caesistdrenreadec">[9]Rest.Drenaje_READEC!$W$18</definedName>
    <definedName name="Caesubbase">#REF!</definedName>
    <definedName name="Caeterraplen">#REF!</definedName>
    <definedName name="Caeterraplenreadec">[4]Terraplen_READEC!$W$18</definedName>
    <definedName name="Caeterrsincomp">#REF!</definedName>
    <definedName name="Caetravesia">#REF!</definedName>
    <definedName name="Caevigas">#REF!</definedName>
    <definedName name="CalcAux">#REF!</definedName>
    <definedName name="CARGAS">[13]TABLAS!$B$22:$D$30</definedName>
    <definedName name="ceme">'[14]ORIGEN 8-95'!$E$63</definedName>
    <definedName name="cemento">'[15]ORIGEN 8-95'!$E$63</definedName>
    <definedName name="CEMR">'[11]ORIGEN MZ-98'!$E$98</definedName>
    <definedName name="clav">[2]tablasVN!$D$75</definedName>
    <definedName name="clavos">[16]BANCOINS!$D$46</definedName>
    <definedName name="codigomat">#REF!</definedName>
    <definedName name="Comb">#REF!</definedName>
    <definedName name="Crracceso">#REF!</definedName>
    <definedName name="Crracondct">[1]Acond.Contratalud_c_coef!$T$43</definedName>
    <definedName name="Crralcantarilla">#REF!</definedName>
    <definedName name="Crralcantarillareadec">[9]Alcantarilla_READEC!$W$20</definedName>
    <definedName name="Crralteomyg">'[1]Alteo de muros y guard_c_coef'!$V$51</definedName>
    <definedName name="CrrApartido">#REF!</definedName>
    <definedName name="Crrapoyos">#REF!</definedName>
    <definedName name="Crrbacheo">#REF!</definedName>
    <definedName name="Crrbandason">#REF!</definedName>
    <definedName name="Crrbandasonreadec">[9]BandasOSonoras_READEC!$V$23</definedName>
    <definedName name="Crrbanquina">#REF!</definedName>
    <definedName name="Crrbaranda">[1]Baranda_c_coef!$U$90</definedName>
    <definedName name="Crrbarandareadec">[9]Baranda_READEC!$U$90</definedName>
    <definedName name="Crrbase">[1]Base_c_coef!$W$29</definedName>
    <definedName name="Crrcabezales">#REF!</definedName>
    <definedName name="Crrcalzadahorm">#REF!</definedName>
    <definedName name="Crrcalzadas">#REF!</definedName>
    <definedName name="Crrcarpeta">#REF!</definedName>
    <definedName name="Crrcarpetariego">#REF!</definedName>
    <definedName name="CrrCCura">#REF!</definedName>
    <definedName name="Crrciclovía">#REF!</definedName>
    <definedName name="Crrcolumnas">#REF!</definedName>
    <definedName name="crrcortepasto">#REF!</definedName>
    <definedName name="Crrdemolicion">#REF!</definedName>
    <definedName name="crrdesembanque">#REF!</definedName>
    <definedName name="Crrescarifbanq">#REF!</definedName>
    <definedName name="Crrescarificado">[1]Escarificado_c_coef!$V$22</definedName>
    <definedName name="Crrestribos">#REF!</definedName>
    <definedName name="Crrexcavacion">#REF!</definedName>
    <definedName name="Crrexcavacionreadec">[4]Excavacion_READEC!$W$20</definedName>
    <definedName name="Crrgaviones">[1]Gaviones_c_coef!$V$23</definedName>
    <definedName name="Crrhor">'[1]Hormigon_rep_de cunetas_c_coef'!$V$22</definedName>
    <definedName name="CrrhorC">#REF!</definedName>
    <definedName name="CrrhorCreadec">'[4]Hormigon_CLASE "C"_READEC'!$V$22</definedName>
    <definedName name="Crrimprimacion">[1]Imprimacion_c_coef!$U$50</definedName>
    <definedName name="Crrimprimrefor">#REF!</definedName>
    <definedName name="Crrinvernal">#REF!</definedName>
    <definedName name="Crrjunta">#REF!</definedName>
    <definedName name="Crrjuntadil">#REF!</definedName>
    <definedName name="Crrjuntas">#REF!</definedName>
    <definedName name="Crrlimpieza">#REF!</definedName>
    <definedName name="Crrlimpseñales">#REF!</definedName>
    <definedName name="Crrlimptransp">'[1]Limpieza y traslado_c_coef'!$V$46</definedName>
    <definedName name="Crrlosa">#REF!</definedName>
    <definedName name="Crrmatbase">[10]Base_c_coef!$W$29</definedName>
    <definedName name="Crrmicroaglom">#REF!</definedName>
    <definedName name="Crrmicroaglomreadec">#REF!</definedName>
    <definedName name="Crrmontaje">#REF!</definedName>
    <definedName name="Crrpasamano">#REF!</definedName>
    <definedName name="Crrperfilado">'[5]perfilado_c_coef '!$V$10</definedName>
    <definedName name="Crrpilotes">#REF!</definedName>
    <definedName name="Crrpintado">#REF!</definedName>
    <definedName name="Crrpretiles">#REF!</definedName>
    <definedName name="Crrprolongacion">#REF!</definedName>
    <definedName name="Crrprolongacionreadec">'[9]Prolongacion alc_READEC'!$V$51</definedName>
    <definedName name="Crrproteccion">#REF!</definedName>
    <definedName name="Crrreadsistdren1071">'[12]Read_Sist_Drenaje Pr1071_c_coef'!$V$38</definedName>
    <definedName name="Crrrelleno">#REF!</definedName>
    <definedName name="Crrrep8026">#REF!</definedName>
    <definedName name="Crrrepalc">#REF!</definedName>
    <definedName name="Crrrestdrenajereadec">[4]Rest.Drenaje_READEC!$W$20</definedName>
    <definedName name="Crrretderrumbe">'[1]Retiro Derrumbes_c_coef'!$W$20</definedName>
    <definedName name="Crrretrecolbaranda">'[1]Retiro y recol Baranda_c_coef'!$V$46</definedName>
    <definedName name="CrrRHermoso">#REF!</definedName>
    <definedName name="Crrriego">#REF!</definedName>
    <definedName name="Crrrotondas">#REF!</definedName>
    <definedName name="Crrsandef">'[1]Saneamiento 1103_c_coef'!$Y$27</definedName>
    <definedName name="Crrsellado">#REF!</definedName>
    <definedName name="Crrsenda">#REF!</definedName>
    <definedName name="Crrseñalamientoreadec">[9]Señalvertical_READEC!$U$50</definedName>
    <definedName name="Crrseñalextrusion">#REF!</definedName>
    <definedName name="Crrseñalextrusionreadec">'[9]SeñHoriz extrusion_READEC'!$V$21</definedName>
    <definedName name="Crrseñalizacion">#REF!</definedName>
    <definedName name="Crrseñalizacionreadec">[9]SeñHoriz_READEC!$V$21</definedName>
    <definedName name="Crrseñalvertreadec">'[4]Señal vertical_READEC'!$U$50</definedName>
    <definedName name="Crrsistdren">[1]Rest.Drenaje_c_coef!$W$20</definedName>
    <definedName name="Crrsistdrenreadec">[9]Rest.Drenaje_READEC!$W$20</definedName>
    <definedName name="Crrsubbase">#REF!</definedName>
    <definedName name="Crrterraplen">[1]Terraplen_c_coef!$W$20</definedName>
    <definedName name="Crrterraplenreadec">[4]Terraplen_READEC!$W$20</definedName>
    <definedName name="Crrterrsincomp">#REF!</definedName>
    <definedName name="Crrtravesia">#REF!</definedName>
    <definedName name="Crrvigas">#REF!</definedName>
    <definedName name="cub">[2]tablasVN!$D$72</definedName>
    <definedName name="dil">[2]tablasVN!$D$93</definedName>
    <definedName name="dolar">[2]tablasVN!$F$130</definedName>
    <definedName name="eq">[17]Equipo!$A$8:$P$99</definedName>
    <definedName name="eqimp">[2]tablasVN!$D$91</definedName>
    <definedName name="eqnac">[2]tablasVN!$D$13</definedName>
    <definedName name="equi">Eq!$B$22:$R$57</definedName>
    <definedName name="equipos">[18]Bco!$A$25:$K$137</definedName>
    <definedName name="finor">'[11]ORIGEN MZ-98'!$F$187</definedName>
    <definedName name="flex">[2]tablasVN!$D$98</definedName>
    <definedName name="flexposte">[2]tablasVN!$D$99</definedName>
    <definedName name="fo">[2]tablasVN!$D$15</definedName>
    <definedName name="Gasoil">#REF!</definedName>
    <definedName name="gaviones">'[15]Anal_precios_ORIGEN 03-98'!$E$63</definedName>
    <definedName name="gavr">'[11]ORIGEN MZ-98'!$E$73</definedName>
    <definedName name="gel">[2]tablasVN!$D$44</definedName>
    <definedName name="geot">[2]tablasVN!$D$32</definedName>
    <definedName name="go">[2]tablasVN!$D$14</definedName>
    <definedName name="grr">'[11]ORIGEN MZ-98'!$F$143</definedName>
    <definedName name="Int">#REF!</definedName>
    <definedName name="it25c">'[2]ANALISIS DE PRECIOS REDETERM'!$I$2073</definedName>
    <definedName name="it28ac">'[2]ANALISIS DE PRECIOS REDETERM'!$I$2166</definedName>
    <definedName name="it28bc">'[2]ANALISIS DE PRECIOS REDETERM'!$I$2187</definedName>
    <definedName name="it29c">'[2]ANALISIS DE PRECIOS REDETERM'!$I$2208</definedName>
    <definedName name="it30c">'[2]ANALISIS DE PRECIOS REDETERM'!$I$2262</definedName>
    <definedName name="it31c">'[2]ANALISIS DE PRECIOS REDETERM'!$I$2282</definedName>
    <definedName name="it32c">'[2]ANALISIS DE PRECIOS REDETERM'!$I$2303</definedName>
    <definedName name="it33c">'[2]ANALISIS DE PRECIOS REDETERM'!$I$2324</definedName>
    <definedName name="it34c">'[2]ANALISIS DE PRECIOS REDETERM'!$I$2368</definedName>
    <definedName name="it35c">'[2]ANALISIS DE PRECIOS REDETERM'!$I$2420</definedName>
    <definedName name="it36ac">'[2]ANALISIS DE PRECIOS REDETERM'!$I$2454</definedName>
    <definedName name="it36bc">'[2]ANALISIS DE PRECIOS REDETERM'!$I$2495</definedName>
    <definedName name="it37c">'[2]ANALISIS DE PRECIOS REDETERM'!$I$2515</definedName>
    <definedName name="it38c">'[2]ANALISIS DE PRECIOS REDETERM'!$I$2537</definedName>
    <definedName name="it39c">'[2]ANALISIS DE PRECIOS REDETERM'!$I$2570</definedName>
    <definedName name="it3ac">'[2]ANALISIS DE PRECIOS REDETERM'!$I$1155</definedName>
    <definedName name="it3bc">'[2]ANALISIS DE PRECIOS REDETERM'!$I$1195</definedName>
    <definedName name="it3p">'[2]ANALISIS DE PRECIOS REDETERM'!$I$760</definedName>
    <definedName name="it41c1mod">'[2]ANALISIS DE PRECIOS 1ªMod_Redet'!$I$254</definedName>
    <definedName name="it42c1mod">'[2]ANALISIS DE PRECIOS 1ªMod_Redet'!$I$320</definedName>
    <definedName name="it4c">'[2]ANALISIS DE PRECIOS REDETERM'!$I$1241</definedName>
    <definedName name="it4p">'[2]ANALISIS DE PRECIOS REDETERM'!$I$810</definedName>
    <definedName name="it5c">'[2]ANALISIS DE PRECIOS REDETERM'!$I$1285</definedName>
    <definedName name="it5p">'[2]ANALISIS DE PRECIOS REDETERM'!$I$834</definedName>
    <definedName name="it6p">'[2]ANALISIS DE PRECIOS REDETERM'!$I$858</definedName>
    <definedName name="it7ac">'[2]ANALISIS DE PRECIOS REDETERM'!$I$1361</definedName>
    <definedName name="it7bc">'[2]ANALISIS DE PRECIOS REDETERM'!$I$1394</definedName>
    <definedName name="it7cc">'[2]ANALISIS DE PRECIOS REDETERM'!$I$1426</definedName>
    <definedName name="it8c">'[2]ANALISIS DE PRECIOS REDETERM'!$I$1451</definedName>
    <definedName name="it9p">'[2]ANALISIS DE PRECIOS REDETERM'!$I$970</definedName>
    <definedName name="Lubr">#REF!</definedName>
    <definedName name="mad">[2]tablasVN!$D$41</definedName>
    <definedName name="MANOBRA">#N/A</definedName>
    <definedName name="manodeo">'[15]ORIGEN 8-95'!$I$204</definedName>
    <definedName name="mat">'[17]Mat (Bco)'!$A$6:$Q$327</definedName>
    <definedName name="materiales">[18]Bco!$A$143:$M$594</definedName>
    <definedName name="mb">'[16]Mat.explot. y otros'!#REF!</definedName>
    <definedName name="mbs">'[16]Mat.explot. y otros'!$M$66</definedName>
    <definedName name="MDODNV">[17]MdO!$A$8:$L$12</definedName>
    <definedName name="MDODPV">[19]MdO!#REF!</definedName>
    <definedName name="Medio_Oficial">#REF!</definedName>
    <definedName name="medioofr">'[11]ORIGEN MZ-98'!$E$48</definedName>
    <definedName name="mov">[2]tablasVN!$D$71</definedName>
    <definedName name="nago">[2]tablasVN!$D$47</definedName>
    <definedName name="Oficial">#REF!</definedName>
    <definedName name="Oficial_Especializado">#REF!</definedName>
    <definedName name="ofr">'[11]ORIGEN MZ-98'!$D$48</definedName>
    <definedName name="Paridad">#REF!</definedName>
    <definedName name="paso">[16]BANCOINS!$E$70</definedName>
    <definedName name="pepe">'[20]Variación Insumos'!#REF!</definedName>
    <definedName name="pintref">[2]tablasVN!$D$51</definedName>
    <definedName name="praccesoreadec">[3]Acc.Chimehuin_READEC!$J$35</definedName>
    <definedName name="praceroptereadec">[21]Acero_Puente_READEC!$H$56</definedName>
    <definedName name="pracondct">[1]Precios!$L$28</definedName>
    <definedName name="praguareadec">'[4]Obra Basica_READEC'!$H$127</definedName>
    <definedName name="pralcantreadec">'[8]Materiales comerciales_READEC'!$F$58</definedName>
    <definedName name="pralteo">#REF!</definedName>
    <definedName name="pralteomyg">[1]Precios!$L$34</definedName>
    <definedName name="pralteoreadec">'[3]Alteo de muros y guard_READEC'!$H$66</definedName>
    <definedName name="prapoyos">#REF!</definedName>
    <definedName name="prarena">#REF!</definedName>
    <definedName name="prarenatrit">#REF!</definedName>
    <definedName name="prb">[1]Precios!$L$15</definedName>
    <definedName name="prbacheo">#REF!</definedName>
    <definedName name="prbacheosan">#REF!</definedName>
    <definedName name="prbacheosanreadec">'[3]Bacheo con saneam_READEC'!$H$178</definedName>
    <definedName name="prbandas">#REF!</definedName>
    <definedName name="prbandassonoras">#REF!</definedName>
    <definedName name="prbandassonorasreadec">[3]BandasOSonoras_READEC!$H$60</definedName>
    <definedName name="prbandassonreadec">[8]BandasOSonoras_READEC!$H$60</definedName>
    <definedName name="prbanq">#REF!</definedName>
    <definedName name="prbanqreadec">[4]Banquina_READEC!$H$59</definedName>
    <definedName name="prbanquina">#REF!</definedName>
    <definedName name="prbanquinasreadec">[6]Precios_READEC!$L$19</definedName>
    <definedName name="prbaranda">#REF!</definedName>
    <definedName name="prbarandareadec">[22]Baranda_READEC!$H$96</definedName>
    <definedName name="prbarpasareadec">#REF!</definedName>
    <definedName name="prbase">#REF!</definedName>
    <definedName name="prbasereadec">[22]Base_READEC!$I$60</definedName>
    <definedName name="prbflexreadec">[6]Baranda_c_coef_READEC!$H$96</definedName>
    <definedName name="prc5readec">[4]Carpeta_READEC!$J$184</definedName>
    <definedName name="prc6readec">[3]Carpeta_READEC!$J$198</definedName>
    <definedName name="prca70100readec">'[8]Materiales comerciales_READEC'!$F$16</definedName>
    <definedName name="prcabezales">#REF!</definedName>
    <definedName name="prcalesreadec">'[8]Materiales comerciales_READEC'!$F$24</definedName>
    <definedName name="prcalzadahorm">#REF!</definedName>
    <definedName name="prcalzadas">#REF!</definedName>
    <definedName name="prcemreadec">'[8]Materiales comerciales_READEC'!$F$49</definedName>
    <definedName name="prciclovía">#REF!</definedName>
    <definedName name="prcicloviareadec">[3]CICLOVIA_READEC!$I$50</definedName>
    <definedName name="prcolocacionalc">#REF!</definedName>
    <definedName name="prcolocacionalcreadec">[8]Alcantarilla_READEC!$H$101</definedName>
    <definedName name="prcolumnas">#REF!</definedName>
    <definedName name="prcortepasto">[5]Precios!$L$19</definedName>
    <definedName name="prcortepastoreadec">[6]Precios_READEC!$L$15</definedName>
    <definedName name="prdemalcantarilla">#REF!</definedName>
    <definedName name="prdemalcantarillareadec">[8]demolicion_READEC!$H$53</definedName>
    <definedName name="prdesembanque">[5]Precios!$L$20</definedName>
    <definedName name="prdesembanquereadec">[6]Desembanque_c_coef_READEC!$H$53</definedName>
    <definedName name="prdren">#REF!</definedName>
    <definedName name="premerreadec">'[8]Materiales comerciales_READEC'!$F$40</definedName>
    <definedName name="prescarif">[1]Precios!$L$13</definedName>
    <definedName name="prescarifbanq">#REF!</definedName>
    <definedName name="prescarifbanqreadec">'[8]Escarif Banq_READEC'!$H$53</definedName>
    <definedName name="prescarifreadec">[3]Escarificado_READEC!$H$53</definedName>
    <definedName name="prestribos">#REF!</definedName>
    <definedName name="prexcavreadec">[4]Excavacion_READEC!$H$53</definedName>
    <definedName name="prfereadec">'[8]Materiales comerciales_READEC'!$F$67</definedName>
    <definedName name="prfisuras">#REF!</definedName>
    <definedName name="prfisurasreadec">'[8]Sellado fisuras_READEC'!$H$60</definedName>
    <definedName name="prfresado">#REF!</definedName>
    <definedName name="prfresado22cm">#REF!</definedName>
    <definedName name="prfresadoreadec">[8]Fresado_READEC!$H$53</definedName>
    <definedName name="prhermoso">#REF!</definedName>
    <definedName name="prhermosoreadec">[3]Rep.IntegralPteRºHermoso_READEC!$J$33</definedName>
    <definedName name="prhlosaptereadec">'[21]Hº losas_Puente_READEC'!$H$56</definedName>
    <definedName name="prhor">[1]Precios!$L$32</definedName>
    <definedName name="prhorcunreadec">'[4]Hormigon_rep_de cunetas_READEC'!$H$60</definedName>
    <definedName name="primpr">[1]Precios!$L$18</definedName>
    <definedName name="primpreforzada">#REF!</definedName>
    <definedName name="primpreforzadareadec">[8]ImprimReforzada_READEC!$H$60</definedName>
    <definedName name="primprimreadec">[4]ImprimReforzada_READEC!$H$60</definedName>
    <definedName name="primprref">#REF!</definedName>
    <definedName name="Print_Area">#REF!</definedName>
    <definedName name="Print_Titles">#REF!</definedName>
    <definedName name="printercanal">#REF!</definedName>
    <definedName name="prinvernal">[5]Precios!$L$29</definedName>
    <definedName name="prjunta">#REF!</definedName>
    <definedName name="prjuntas">#REF!</definedName>
    <definedName name="prlechada">#REF!</definedName>
    <definedName name="prlechadareadec">#REF!</definedName>
    <definedName name="prlimpieza">[5]Precios!$L$25</definedName>
    <definedName name="prlimpiezareadec">'[6]limpieza gral _c_coef_READEC'!$H$53</definedName>
    <definedName name="prlimpseñales">[5]Precios!$L$27</definedName>
    <definedName name="prlimpseñalesreadec">[6]Precios_READEC!$L$23</definedName>
    <definedName name="prlimptransp">[1]Precios!$L$33</definedName>
    <definedName name="prlosa">#REF!</definedName>
    <definedName name="prmatbanquina">#REF!</definedName>
    <definedName name="prmatbanquinareadec">'[8]Mat expl_Banquina_READEC'!$K$155</definedName>
    <definedName name="prmaterialbase">'[1]Mat explotados Base'!$K$155</definedName>
    <definedName name="prmicroaglomerado">#REF!</definedName>
    <definedName name="prmicroreadec">[3]Microaglomerado_READEC!$H$60</definedName>
    <definedName name="prmontaje">#REF!</definedName>
    <definedName name="prPartido">#REF!</definedName>
    <definedName name="prPCCura">#REF!</definedName>
    <definedName name="prperfilado">[5]Precios!$L$24</definedName>
    <definedName name="prperfiladoreadec">[6]perfilado_c_coef_READEC!$H$53</definedName>
    <definedName name="prpiedratrit">#REF!</definedName>
    <definedName name="prpilotes">#REF!</definedName>
    <definedName name="prpintado">[5]Precios!$L$21</definedName>
    <definedName name="prpintadoreadec">[6]Pintado_c_coef_READEC!$H$60</definedName>
    <definedName name="prpostereadec">#REF!</definedName>
    <definedName name="prpretiles">[5]Precios!$L$28</definedName>
    <definedName name="prpretilesreadec">'[6]Mat expl_PiedraTrit_READEC'!$H$96</definedName>
    <definedName name="prprolongacion">#REF!</definedName>
    <definedName name="prprolongacionreadec">'[8]Prolongacion alc_READEC'!$H$68</definedName>
    <definedName name="prproteccion">#REF!</definedName>
    <definedName name="prpteccurareadec">[3]Rep.Pte.C.Cura_READEC!$I$43</definedName>
    <definedName name="prrecolprereadec">'[3]Retiro y recol Pretiles_READEC'!$H$50</definedName>
    <definedName name="prrefuerzo6">#REF!</definedName>
    <definedName name="prrefuerzo6readec">[8]refuerzo_READEC!$J$183</definedName>
    <definedName name="prrefuerzo8">#REF!</definedName>
    <definedName name="prrefuerzo8readec">[8]refuerzo_READEC!$J$197</definedName>
    <definedName name="prrelleno">#REF!</definedName>
    <definedName name="prrellenoreadec">'[3]Relleno ahuellam_READEC'!$H$178</definedName>
    <definedName name="prrepalc">[23]Precios!#REF!</definedName>
    <definedName name="prrepAlcPtes">#REF!</definedName>
    <definedName name="prrepalcreadec">[3]Rep.IntegralAlc_READEC!$I$33</definedName>
    <definedName name="prreparacionalc">#REF!</definedName>
    <definedName name="prreparacionalcreadec">'[8]Reparacion alcantarilla_READEC'!$I$35</definedName>
    <definedName name="prrestdrenaje">#REF!</definedName>
    <definedName name="prrestdrenajereadec">[8]Rest.Drenaje_READEC!$H$53</definedName>
    <definedName name="prretderrumbe">'[1]Retiro Derrumbes_c_coef'!$H$52</definedName>
    <definedName name="prretrecolbaranda">[1]Precios!$L$27</definedName>
    <definedName name="prriegoimpreadec">'[3]Riego imprim_READEC'!$H$60</definedName>
    <definedName name="prriegoliga">#REF!</definedName>
    <definedName name="prriegoligareadec">'[8]Riego de liga_READEC'!$H$60</definedName>
    <definedName name="prrieimpr">#REF!</definedName>
    <definedName name="prrotondas">#REF!</definedName>
    <definedName name="prrotondasreadec">[3]Rotondas_READEC!$I$35</definedName>
    <definedName name="prsandef">[1]Precios!$L$31</definedName>
    <definedName name="prsb">[1]Precios!$L$14</definedName>
    <definedName name="prsellado">#REF!</definedName>
    <definedName name="prselladoreadec">'[6]Riego de liga_READEC'!$H$60</definedName>
    <definedName name="prsenda">#REF!</definedName>
    <definedName name="prsendareadec">'[3]Senda Peatonal_READEC'!$H$50</definedName>
    <definedName name="prseñalamiento">#REF!</definedName>
    <definedName name="prseñalamientoreadec">[6]Señalvertical_c_coef_READEC!$H$60</definedName>
    <definedName name="prseñalizacion">#REF!</definedName>
    <definedName name="prseñalizacionext">#REF!</definedName>
    <definedName name="prseñalizacionextreadec">'[8]SeñHoriz extrusion_READEC'!$H$98</definedName>
    <definedName name="prseñalizaciónreadec">[8]SeñHoriz_READEC!$H$98</definedName>
    <definedName name="prseñalizreadec">[4]SeñHoriz_READEC!$H$98</definedName>
    <definedName name="prsistdren">[1]Precios!$L$25</definedName>
    <definedName name="prsistdren1071">[1]Precios!$L$30</definedName>
    <definedName name="prSoc8026">#REF!</definedName>
    <definedName name="prsocavacionreadec">[3]RepSocava80.26_READEC!$I$26</definedName>
    <definedName name="prsubbase">#REF!</definedName>
    <definedName name="prsubbasereadec">[22]SubBase_READEC!$I$60</definedName>
    <definedName name="prterr">[1]Precios!$L$24</definedName>
    <definedName name="prterrapreadec">[4]Terraplen_READEC!$H$53</definedName>
    <definedName name="prterrsincomp">#REF!</definedName>
    <definedName name="prtravsenillosareadec">'[8]Travesia Senillosa_READEC'!$I$35</definedName>
    <definedName name="prueba">#REF!</definedName>
    <definedName name="prvigas">#REF!</definedName>
    <definedName name="pvc">[2]tablasVN!$D$63</definedName>
    <definedName name="rellr">'[11]ORIGEN MZ-98'!$F$228</definedName>
    <definedName name="RESUMEN">#N/A</definedName>
    <definedName name="ryrc">'[24]Valores Const_READEC'!#REF!</definedName>
    <definedName name="ryrr">'[7]ORIGEN MZ-98'!$I$36</definedName>
    <definedName name="t1000k">[2]tablasVN!$D$120</definedName>
    <definedName name="t15k">[2]tablasVN!$D$122</definedName>
    <definedName name="t400k">[2]tablasVN!$D$118</definedName>
    <definedName name="t490k">[2]tablasVN!$D$119</definedName>
    <definedName name="t90k">[2]tablasVN!$D$121</definedName>
    <definedName name="tablas">'[16]Materiales comerciales'!$I$1295</definedName>
    <definedName name="tasa">[2]tablasVN!$F$125</definedName>
    <definedName name="terramesh">'[16]Materiales comerciales'!$I$1226</definedName>
    <definedName name="titulo">#REF!</definedName>
    <definedName name="TRANSPORTE">#N/A</definedName>
    <definedName name="V.R.">#REF!</definedName>
    <definedName name="vacdul">'[14]INSUMOS ago_00'!#REF!</definedName>
    <definedName name="vacdul1mod">#REF!</definedName>
    <definedName name="vacete">'[20]Variación Insumos'!#REF!</definedName>
    <definedName name="vaclam">'[14]INSUMOS ago_00'!#REF!</definedName>
    <definedName name="vaclam1mod">#REF!</definedName>
    <definedName name="vadih">'[20]Variación Insumos'!#REF!</definedName>
    <definedName name="val">'[20]Variación Insumos'!#REF!</definedName>
    <definedName name="valgalv">'[14]INSUMOS ago_00'!#REF!</definedName>
    <definedName name="valgalv1mod">#REF!</definedName>
    <definedName name="Valor">#REF!</definedName>
    <definedName name="vaponeo">'[20]Variación Insumos'!#REF!</definedName>
    <definedName name="varmco">'[14]INSUMOS ago_00'!#REF!</definedName>
    <definedName name="varmco1mod">#REF!</definedName>
    <definedName name="vbarra">'[14]INSUMOS ago_00'!#REF!</definedName>
    <definedName name="vbarra1mod">#REF!</definedName>
    <definedName name="vbroca">'[14]INSUMOS ago_00'!#REF!</definedName>
    <definedName name="vbroca1mod">#REF!</definedName>
    <definedName name="vca">'[14]INSUMOS ago_00'!#REF!</definedName>
    <definedName name="vca1mod">#REF!</definedName>
    <definedName name="vcem1mod">#REF!</definedName>
    <definedName name="vclav">[2]INSUMOS!$D$55</definedName>
    <definedName name="vclav1mod">#REF!</definedName>
    <definedName name="vcub">'[20]Variación Insumos'!#REF!</definedName>
    <definedName name="vcub1mod">#REF!</definedName>
    <definedName name="vdil">'[14]INSUMOS ago_00'!#REF!</definedName>
    <definedName name="vdil1mod">#REF!</definedName>
    <definedName name="veqc1mod">#REF!</definedName>
    <definedName name="veqh1mod">#REF!</definedName>
    <definedName name="veqh2mod">'[25]Variaciones a MAR_98'!#REF!</definedName>
    <definedName name="veqh3mod">'[25]variaciones a AGO_00'!#REF!</definedName>
    <definedName name="veqhc">'[14]INSUMOS ago_00'!#REF!</definedName>
    <definedName name="veqhc1mod">#REF!</definedName>
    <definedName name="veqimp1mod">#REF!</definedName>
    <definedName name="veqnac1mod">#REF!</definedName>
    <definedName name="veqp1mod">#REF!</definedName>
    <definedName name="vfiller">[2]INSUMOS!#REF!</definedName>
    <definedName name="vfiller1mod">#REF!</definedName>
    <definedName name="vflex1mod">#REF!</definedName>
    <definedName name="vflexposte">'[20]Variación Insumos'!#REF!</definedName>
    <definedName name="vflexposte1mod">#REF!</definedName>
    <definedName name="vfo">'[14]INSUMOS ago_00'!#REF!</definedName>
    <definedName name="vfo1mod">#REF!</definedName>
    <definedName name="vgav1mod">#REF!</definedName>
    <definedName name="vgavhex">'[14]INSUMOS ago_00'!#REF!</definedName>
    <definedName name="vgavhex1mod">#REF!</definedName>
    <definedName name="vgel">'[14]INSUMOS ago_00'!#REF!</definedName>
    <definedName name="vgel1mod">#REF!</definedName>
    <definedName name="vgeot">'[14]INSUMOS ago_00'!#REF!</definedName>
    <definedName name="vgeot1mod">#REF!</definedName>
    <definedName name="vgf">'[20]Variación Insumos'!#REF!</definedName>
    <definedName name="vgf1mod">#REF!</definedName>
    <definedName name="vgf3mod">'[25]variaciones a AGO_00'!#REF!</definedName>
    <definedName name="vggrales">'[20]Variación Insumos'!$D$14</definedName>
    <definedName name="vgo">'[20]Variación Insumos'!$D$23</definedName>
    <definedName name="vgo1mod">#REF!</definedName>
    <definedName name="viv">[2]tablasVN!$D$73</definedName>
    <definedName name="vjunexp">'[20]Variación Insumos'!#REF!</definedName>
    <definedName name="vjunt">'[14]INSUMOS ago_00'!#REF!</definedName>
    <definedName name="vjunt1mod">#REF!</definedName>
    <definedName name="vmad">'[20]Variación Insumos'!#REF!</definedName>
    <definedName name="vmad1mod">#REF!</definedName>
    <definedName name="vmas">'[20]Variación Insumos'!#REF!</definedName>
    <definedName name="vmdeo1mod">#REF!</definedName>
    <definedName name="vmhex">'[14]INSUMOS ago_00'!#REF!</definedName>
    <definedName name="vmhex1mod">#REF!</definedName>
    <definedName name="vmov1mod">#REF!</definedName>
    <definedName name="vnago">'[14]INSUMOS ago_00'!#REF!</definedName>
    <definedName name="vnago1mod">#REF!</definedName>
    <definedName name="vomathap">'[20]Variación Insumos'!#REF!</definedName>
    <definedName name="vomathpp">'[20]Variación Insumos'!#REF!</definedName>
    <definedName name="votros">'[14]INSUMOS ago_00'!#REF!</definedName>
    <definedName name="votros1mod">#REF!</definedName>
    <definedName name="vpintref">'[14]INSUMOS ago_00'!#REF!</definedName>
    <definedName name="vpintref1mod">#REF!</definedName>
    <definedName name="vpvc">'[14]INSUMOS ago_00'!#REF!</definedName>
    <definedName name="vpvc1mod">#REF!</definedName>
    <definedName name="vrrc1mod">#REF!</definedName>
    <definedName name="vrrp1mod">#REF!</definedName>
    <definedName name="vseñ">'[14]INSUMOS ago_00'!#REF!</definedName>
    <definedName name="vseñ1mod">#REF!</definedName>
    <definedName name="vt100k">'[26]Variación Insumos'!$D$47</definedName>
    <definedName name="vt1400k">'[20]Variación Insumos'!#REF!</definedName>
    <definedName name="vt1450k">'[20]Variación Insumos'!#REF!</definedName>
    <definedName name="vt50k">'[20]Variación Insumos'!#REF!</definedName>
    <definedName name="vtmesh">'[14]INSUMOS ago_00'!#REF!</definedName>
    <definedName name="vtmesh1mod">#REF!</definedName>
    <definedName name="vtopes">'[20]Variación Insumos'!#REF!</definedName>
    <definedName name="vviv">'[20]Variación Insumos'!#REF!</definedName>
    <definedName name="vviv1mod">#REF!</definedName>
  </definedNames>
  <calcPr calcId="145621"/>
</workbook>
</file>

<file path=xl/calcChain.xml><?xml version="1.0" encoding="utf-8"?>
<calcChain xmlns="http://schemas.openxmlformats.org/spreadsheetml/2006/main">
  <c r="D30" i="1" l="1"/>
  <c r="E30" i="1"/>
  <c r="H30" i="1"/>
  <c r="I30" i="1"/>
  <c r="L30" i="1"/>
  <c r="M30" i="1"/>
  <c r="N30" i="1"/>
  <c r="F54" i="1"/>
  <c r="G54" i="1" s="1"/>
  <c r="J54" i="1" s="1"/>
  <c r="O54" i="1"/>
  <c r="P54" i="1" s="1"/>
  <c r="Q54" i="1" s="1"/>
  <c r="F55" i="1"/>
  <c r="G55" i="1" s="1"/>
  <c r="O55" i="1"/>
  <c r="P55" i="1" s="1"/>
  <c r="F56" i="1"/>
  <c r="O56" i="1"/>
  <c r="P56" i="1" s="1"/>
  <c r="F57" i="1"/>
  <c r="G57" i="1" s="1"/>
  <c r="K57" i="1" s="1"/>
  <c r="O57" i="1"/>
  <c r="P57" i="1" s="1"/>
  <c r="Q57" i="1" s="1"/>
  <c r="F58" i="1"/>
  <c r="O58" i="1"/>
  <c r="P58" i="1" s="1"/>
  <c r="Q58" i="1" s="1"/>
  <c r="F59" i="1"/>
  <c r="G59" i="1" s="1"/>
  <c r="O59" i="1"/>
  <c r="P59" i="1" s="1"/>
  <c r="Q59" i="1" s="1"/>
  <c r="F60" i="1"/>
  <c r="G60" i="1" s="1"/>
  <c r="O60" i="1"/>
  <c r="P60" i="1" s="1"/>
  <c r="F61" i="1"/>
  <c r="G61" i="1" s="1"/>
  <c r="O61" i="1"/>
  <c r="P61" i="1" s="1"/>
  <c r="Q61" i="1" s="1"/>
  <c r="F62" i="1"/>
  <c r="G62" i="1" s="1"/>
  <c r="J62" i="1" s="1"/>
  <c r="O62" i="1"/>
  <c r="P62" i="1" s="1"/>
  <c r="Q62" i="1" s="1"/>
  <c r="J57" i="1" l="1"/>
  <c r="K61" i="1"/>
  <c r="K62" i="1"/>
  <c r="K54" i="1"/>
  <c r="J61" i="1"/>
  <c r="J59" i="1"/>
  <c r="G58" i="1"/>
  <c r="K58" i="1" s="1"/>
  <c r="R57" i="1"/>
  <c r="R61" i="1"/>
  <c r="R62" i="1"/>
  <c r="R58" i="1"/>
  <c r="Q55" i="1"/>
  <c r="R55" i="1" s="1"/>
  <c r="Q60" i="1"/>
  <c r="R60" i="1" s="1"/>
  <c r="Q56" i="1"/>
  <c r="R56" i="1" s="1"/>
  <c r="K60" i="1"/>
  <c r="J60" i="1"/>
  <c r="R59" i="1"/>
  <c r="K59" i="1"/>
  <c r="K55" i="1"/>
  <c r="G56" i="1"/>
  <c r="J56" i="1" s="1"/>
  <c r="J55" i="1"/>
  <c r="R54" i="1"/>
  <c r="S61" i="1" l="1"/>
  <c r="U61" i="1" s="1"/>
  <c r="S57" i="1"/>
  <c r="U57" i="1" s="1"/>
  <c r="J58" i="1"/>
  <c r="S58" i="1" s="1"/>
  <c r="U58" i="1" s="1"/>
  <c r="S62" i="1"/>
  <c r="U62" i="1" s="1"/>
  <c r="S54" i="1"/>
  <c r="U54" i="1" s="1"/>
  <c r="K56" i="1"/>
  <c r="S56" i="1" s="1"/>
  <c r="U56" i="1" s="1"/>
  <c r="S55" i="1"/>
  <c r="U55" i="1" s="1"/>
  <c r="S60" i="1"/>
  <c r="U60" i="1" s="1"/>
  <c r="S59" i="1"/>
  <c r="U59" i="1" s="1"/>
  <c r="O23" i="1" l="1"/>
  <c r="P23" i="1" s="1"/>
  <c r="Q23" i="1" s="1"/>
  <c r="F23" i="1"/>
  <c r="G23" i="1" s="1"/>
  <c r="K23" i="1" s="1"/>
  <c r="N22" i="1"/>
  <c r="R23" i="1" l="1"/>
  <c r="J23" i="1"/>
  <c r="S23" i="1" l="1"/>
  <c r="U23" i="1" s="1"/>
  <c r="O52" i="1" l="1"/>
  <c r="P52" i="1" s="1"/>
  <c r="F52" i="1"/>
  <c r="G52" i="1" s="1"/>
  <c r="K52" i="1" l="1"/>
  <c r="J52" i="1"/>
  <c r="Q52" i="1"/>
  <c r="R52" i="1" s="1"/>
  <c r="S52" i="1" l="1"/>
  <c r="U52" i="1" s="1"/>
  <c r="O24" i="1" l="1"/>
  <c r="O25" i="1"/>
  <c r="O26" i="1"/>
  <c r="O27" i="1"/>
  <c r="O28" i="1"/>
  <c r="O30" i="1" s="1"/>
  <c r="O29" i="1"/>
  <c r="O31" i="1"/>
  <c r="O32" i="1"/>
  <c r="O33" i="1"/>
  <c r="O34" i="1"/>
  <c r="O35" i="1"/>
  <c r="O36" i="1"/>
  <c r="O37" i="1"/>
  <c r="O53" i="1"/>
  <c r="P53" i="1" s="1"/>
  <c r="O38" i="1"/>
  <c r="P38" i="1" s="1"/>
  <c r="O39" i="1"/>
  <c r="P39" i="1" s="1"/>
  <c r="O40" i="1"/>
  <c r="P40" i="1" s="1"/>
  <c r="O41" i="1"/>
  <c r="P41" i="1" s="1"/>
  <c r="O42" i="1"/>
  <c r="P42" i="1" s="1"/>
  <c r="O43" i="1"/>
  <c r="P43" i="1" s="1"/>
  <c r="O44" i="1"/>
  <c r="P44" i="1" s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F27" i="1" l="1"/>
  <c r="F22" i="1"/>
  <c r="Q53" i="1"/>
  <c r="R53" i="1" s="1"/>
  <c r="Q38" i="1"/>
  <c r="R38" i="1" s="1"/>
  <c r="Q39" i="1"/>
  <c r="R39" i="1" s="1"/>
  <c r="Q40" i="1"/>
  <c r="R40" i="1" s="1"/>
  <c r="Q41" i="1"/>
  <c r="R41" i="1" s="1"/>
  <c r="Q42" i="1"/>
  <c r="R42" i="1" s="1"/>
  <c r="Q43" i="1"/>
  <c r="R43" i="1" s="1"/>
  <c r="Q44" i="1"/>
  <c r="R44" i="1" s="1"/>
  <c r="Q45" i="1"/>
  <c r="R45" i="1" s="1"/>
  <c r="Q46" i="1"/>
  <c r="R46" i="1" s="1"/>
  <c r="Q47" i="1"/>
  <c r="R47" i="1" s="1"/>
  <c r="Q48" i="1"/>
  <c r="R48" i="1" s="1"/>
  <c r="Q49" i="1"/>
  <c r="R49" i="1" s="1"/>
  <c r="Q50" i="1"/>
  <c r="R50" i="1" s="1"/>
  <c r="Q51" i="1"/>
  <c r="R51" i="1" s="1"/>
  <c r="O22" i="1"/>
  <c r="P22" i="1" s="1"/>
  <c r="Q22" i="1" l="1"/>
  <c r="R22" i="1" s="1"/>
  <c r="F53" i="1"/>
  <c r="G53" i="1" s="1"/>
  <c r="K53" i="1" s="1"/>
  <c r="F38" i="1"/>
  <c r="G38" i="1" s="1"/>
  <c r="K38" i="1" s="1"/>
  <c r="F39" i="1"/>
  <c r="G39" i="1" s="1"/>
  <c r="K39" i="1" s="1"/>
  <c r="F40" i="1"/>
  <c r="G40" i="1" s="1"/>
  <c r="K40" i="1" s="1"/>
  <c r="F41" i="1"/>
  <c r="F42" i="1"/>
  <c r="G42" i="1" s="1"/>
  <c r="K42" i="1" s="1"/>
  <c r="F43" i="1"/>
  <c r="G43" i="1" s="1"/>
  <c r="K43" i="1" s="1"/>
  <c r="F44" i="1"/>
  <c r="G44" i="1" s="1"/>
  <c r="K44" i="1" s="1"/>
  <c r="F45" i="1"/>
  <c r="F46" i="1"/>
  <c r="G46" i="1" s="1"/>
  <c r="K46" i="1" s="1"/>
  <c r="F47" i="1"/>
  <c r="G47" i="1" s="1"/>
  <c r="K47" i="1" s="1"/>
  <c r="F48" i="1"/>
  <c r="G48" i="1" s="1"/>
  <c r="K48" i="1" s="1"/>
  <c r="F49" i="1"/>
  <c r="G49" i="1" s="1"/>
  <c r="K49" i="1" s="1"/>
  <c r="F50" i="1"/>
  <c r="G50" i="1" s="1"/>
  <c r="K50" i="1" s="1"/>
  <c r="F51" i="1"/>
  <c r="G51" i="1" s="1"/>
  <c r="K51" i="1" s="1"/>
  <c r="F24" i="1"/>
  <c r="F25" i="1"/>
  <c r="G25" i="1" s="1"/>
  <c r="K25" i="1" s="1"/>
  <c r="F26" i="1"/>
  <c r="G26" i="1" s="1"/>
  <c r="K26" i="1" s="1"/>
  <c r="G27" i="1"/>
  <c r="K27" i="1" s="1"/>
  <c r="F28" i="1"/>
  <c r="F30" i="1" s="1"/>
  <c r="F29" i="1"/>
  <c r="F31" i="1"/>
  <c r="G31" i="1" s="1"/>
  <c r="K31" i="1" s="1"/>
  <c r="F32" i="1"/>
  <c r="G32" i="1" s="1"/>
  <c r="F33" i="1"/>
  <c r="G33" i="1" s="1"/>
  <c r="K33" i="1" s="1"/>
  <c r="F34" i="1"/>
  <c r="G34" i="1" s="1"/>
  <c r="K34" i="1" s="1"/>
  <c r="F35" i="1"/>
  <c r="G35" i="1" s="1"/>
  <c r="K35" i="1" s="1"/>
  <c r="F36" i="1"/>
  <c r="G36" i="1" s="1"/>
  <c r="K36" i="1" s="1"/>
  <c r="F37" i="1"/>
  <c r="G37" i="1" s="1"/>
  <c r="K37" i="1" s="1"/>
  <c r="G22" i="1"/>
  <c r="K22" i="1" s="1"/>
  <c r="G28" i="1" l="1"/>
  <c r="G29" i="1"/>
  <c r="G24" i="1"/>
  <c r="G45" i="1"/>
  <c r="G41" i="1"/>
  <c r="J50" i="1"/>
  <c r="S50" i="1" s="1"/>
  <c r="U50" i="1" s="1"/>
  <c r="J48" i="1"/>
  <c r="S48" i="1" s="1"/>
  <c r="U48" i="1" s="1"/>
  <c r="J43" i="1"/>
  <c r="S43" i="1" s="1"/>
  <c r="U43" i="1" s="1"/>
  <c r="J39" i="1"/>
  <c r="S39" i="1" s="1"/>
  <c r="U39" i="1" s="1"/>
  <c r="J38" i="1"/>
  <c r="S38" i="1" s="1"/>
  <c r="U38" i="1" s="1"/>
  <c r="J46" i="1"/>
  <c r="S46" i="1" s="1"/>
  <c r="U46" i="1" s="1"/>
  <c r="J51" i="1"/>
  <c r="S51" i="1" s="1"/>
  <c r="U51" i="1" s="1"/>
  <c r="J42" i="1"/>
  <c r="S42" i="1" s="1"/>
  <c r="U42" i="1" s="1"/>
  <c r="J34" i="1"/>
  <c r="J26" i="1"/>
  <c r="J47" i="1"/>
  <c r="S47" i="1" s="1"/>
  <c r="U47" i="1" s="1"/>
  <c r="J36" i="1"/>
  <c r="J33" i="1"/>
  <c r="J25" i="1"/>
  <c r="J37" i="1"/>
  <c r="J27" i="1"/>
  <c r="J53" i="1"/>
  <c r="S53" i="1" s="1"/>
  <c r="U53" i="1" s="1"/>
  <c r="J35" i="1"/>
  <c r="J49" i="1"/>
  <c r="S49" i="1" s="1"/>
  <c r="U49" i="1" s="1"/>
  <c r="J44" i="1"/>
  <c r="S44" i="1" s="1"/>
  <c r="U44" i="1" s="1"/>
  <c r="J40" i="1"/>
  <c r="S40" i="1" s="1"/>
  <c r="U40" i="1" s="1"/>
  <c r="J31" i="1"/>
  <c r="J22" i="1"/>
  <c r="Q19" i="1"/>
  <c r="M13" i="1"/>
  <c r="K28" i="1" l="1"/>
  <c r="K30" i="1" s="1"/>
  <c r="G30" i="1"/>
  <c r="J28" i="1"/>
  <c r="J30" i="1" s="1"/>
  <c r="J24" i="1"/>
  <c r="K24" i="1"/>
  <c r="J41" i="1"/>
  <c r="K41" i="1"/>
  <c r="J45" i="1"/>
  <c r="K45" i="1"/>
  <c r="J29" i="1"/>
  <c r="K29" i="1"/>
  <c r="J32" i="1"/>
  <c r="K32" i="1"/>
  <c r="S22" i="1"/>
  <c r="U22" i="1" s="1"/>
  <c r="P28" i="1"/>
  <c r="P30" i="1" s="1"/>
  <c r="P31" i="1"/>
  <c r="P35" i="1"/>
  <c r="P25" i="1"/>
  <c r="P33" i="1"/>
  <c r="P34" i="1"/>
  <c r="P36" i="1"/>
  <c r="P37" i="1"/>
  <c r="P24" i="1"/>
  <c r="P29" i="1"/>
  <c r="P32" i="1"/>
  <c r="S45" i="1" l="1"/>
  <c r="U45" i="1" s="1"/>
  <c r="S41" i="1"/>
  <c r="U41" i="1" s="1"/>
  <c r="Q34" i="1"/>
  <c r="R34" i="1" s="1"/>
  <c r="Q32" i="1"/>
  <c r="R32" i="1" s="1"/>
  <c r="Q33" i="1"/>
  <c r="R33" i="1" s="1"/>
  <c r="Q29" i="1"/>
  <c r="R29" i="1" s="1"/>
  <c r="Q37" i="1"/>
  <c r="R37" i="1" s="1"/>
  <c r="Q28" i="1"/>
  <c r="Q36" i="1"/>
  <c r="R36" i="1" s="1"/>
  <c r="Q35" i="1"/>
  <c r="R35" i="1" s="1"/>
  <c r="Q31" i="1"/>
  <c r="R31" i="1" s="1"/>
  <c r="Q24" i="1"/>
  <c r="R24" i="1" s="1"/>
  <c r="Q25" i="1"/>
  <c r="R25" i="1" s="1"/>
  <c r="P27" i="1"/>
  <c r="P26" i="1"/>
  <c r="R28" i="1" l="1"/>
  <c r="R30" i="1" s="1"/>
  <c r="Q30" i="1"/>
  <c r="Q27" i="1"/>
  <c r="R27" i="1" s="1"/>
  <c r="Q26" i="1"/>
  <c r="R26" i="1" s="1"/>
  <c r="S34" i="1" l="1"/>
  <c r="U34" i="1" s="1"/>
  <c r="S35" i="1"/>
  <c r="U35" i="1" s="1"/>
  <c r="S26" i="1"/>
  <c r="U26" i="1" s="1"/>
  <c r="S28" i="1"/>
  <c r="S36" i="1"/>
  <c r="U36" i="1" s="1"/>
  <c r="S33" i="1"/>
  <c r="U33" i="1" s="1"/>
  <c r="S32" i="1"/>
  <c r="U32" i="1" s="1"/>
  <c r="S24" i="1"/>
  <c r="U24" i="1" s="1"/>
  <c r="S31" i="1"/>
  <c r="U31" i="1" s="1"/>
  <c r="S29" i="1"/>
  <c r="U29" i="1" s="1"/>
  <c r="S27" i="1"/>
  <c r="U27" i="1" s="1"/>
  <c r="S37" i="1"/>
  <c r="U37" i="1" s="1"/>
  <c r="S25" i="1"/>
  <c r="U25" i="1" s="1"/>
  <c r="U28" i="1" l="1"/>
  <c r="S30" i="1"/>
  <c r="U30" i="1" s="1"/>
</calcChain>
</file>

<file path=xl/sharedStrings.xml><?xml version="1.0" encoding="utf-8"?>
<sst xmlns="http://schemas.openxmlformats.org/spreadsheetml/2006/main" count="193" uniqueCount="103">
  <si>
    <t>EQUIPOS</t>
  </si>
  <si>
    <t xml:space="preserve">      C.A.  -  V.R.</t>
  </si>
  <si>
    <t xml:space="preserve">          C.A. x 0.5 x i</t>
  </si>
  <si>
    <t>Equipo</t>
  </si>
  <si>
    <t>a = -------------------</t>
  </si>
  <si>
    <t>;   I = -----------------------</t>
  </si>
  <si>
    <t xml:space="preserve">            V.U.</t>
  </si>
  <si>
    <t xml:space="preserve">            U.A. x 100</t>
  </si>
  <si>
    <t>Nº</t>
  </si>
  <si>
    <t>Costo
Actual</t>
  </si>
  <si>
    <t>Valor
Residual</t>
  </si>
  <si>
    <t>Vida
útil</t>
  </si>
  <si>
    <t>Uso
Anual</t>
  </si>
  <si>
    <t>Amortización
e Intereses</t>
  </si>
  <si>
    <t>Reparaciones
y Repuestos</t>
  </si>
  <si>
    <t>Combustibles</t>
  </si>
  <si>
    <t>Lubricantes</t>
  </si>
  <si>
    <t>Combustibles y Lubricantes</t>
  </si>
  <si>
    <t>Total</t>
  </si>
  <si>
    <t>Potencia</t>
  </si>
  <si>
    <t>Tipo</t>
  </si>
  <si>
    <t>Precio
Unitario</t>
  </si>
  <si>
    <t>Consumo</t>
  </si>
  <si>
    <t>Costo</t>
  </si>
  <si>
    <t>(12)+(13)</t>
  </si>
  <si>
    <t>(7)+(8)+(14)</t>
  </si>
  <si>
    <t>HP</t>
  </si>
  <si>
    <t>($)</t>
  </si>
  <si>
    <t>h</t>
  </si>
  <si>
    <t>$/h</t>
  </si>
  <si>
    <t>$/Lt</t>
  </si>
  <si>
    <t>Lt/h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</si>
  <si>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</si>
  <si>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</si>
  <si>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</si>
  <si>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</si>
  <si>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</si>
  <si>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</si>
  <si>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</si>
  <si>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</si>
  <si>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</si>
  <si>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</si>
  <si>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</si>
  <si>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</si>
  <si>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</si>
  <si>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</si>
  <si>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 xml:space="preserve">Obra: Proyecto Ejecutivo y Construccion del Paseo Del Bajo  </t>
  </si>
  <si>
    <t>Contratacion N° 2016-01-0007-00</t>
  </si>
  <si>
    <t>(U$s)</t>
  </si>
  <si>
    <t>Compactador vibratorio simple c/ pisones Caterpillar CP 56</t>
  </si>
  <si>
    <t>Compactador vibratorio simple liso Dynapac CA 35</t>
  </si>
  <si>
    <t>Regla vibradora plana Indhor RPA</t>
  </si>
  <si>
    <t>Camión Playo</t>
  </si>
  <si>
    <t>Martillo neumático Cetec M-36</t>
  </si>
  <si>
    <t>Grúa s/ neumáticos Terex RT35</t>
  </si>
  <si>
    <t>Grúa s/ neumáticos Terex Quadstar 1075L</t>
  </si>
  <si>
    <t>Bomba p/ inyectar Isocron Inyectomat</t>
  </si>
  <si>
    <t>Cargador frontal c/ retro Caterpillar 416E</t>
  </si>
  <si>
    <t>Vibroapisonador Dynapac LT 6000</t>
  </si>
  <si>
    <t>Camión volcador Iveco - Baco Tector Attack 170 E 22</t>
  </si>
  <si>
    <t>Miniexcavadora Bobcat E26</t>
  </si>
  <si>
    <t>Cargador frontal Caterpillar 950E</t>
  </si>
  <si>
    <t>Cargador frontal c/ retro Komatsu WB 97 R</t>
  </si>
  <si>
    <t>Retroexcavadora Caterpillar 320B L</t>
  </si>
  <si>
    <t>Motoniveladora Caterpillar 14M</t>
  </si>
  <si>
    <t>Camión volcador Iveco - Baco Stralis 6x2 570 S38T</t>
  </si>
  <si>
    <t>Camion regador de agua Fiat 697 N</t>
  </si>
  <si>
    <t>Terminadora asfáltica Caterpillar AP655D</t>
  </si>
  <si>
    <t>Rodillo neumático Tortone RN 7.23</t>
  </si>
  <si>
    <t>Fresadora Wirtgen W 130 FCS</t>
  </si>
  <si>
    <t>Gas Oil</t>
  </si>
  <si>
    <t>30 % x (3)"</t>
  </si>
  <si>
    <t>80% x (7)"</t>
  </si>
  <si>
    <t>(*) Nota: El valor horario de estos equipos corresponde al costo horario de alquiler de los mismos.</t>
  </si>
  <si>
    <t>Tramo B - Trinchera</t>
  </si>
  <si>
    <t>Retroexcavadora Caterpillar 330B L</t>
  </si>
  <si>
    <t>Lt/hp/h</t>
  </si>
  <si>
    <t xml:space="preserve">Combustibles y Lubricantes (Gasoil) </t>
  </si>
  <si>
    <t>Camión volcador Fiat 697 N</t>
  </si>
  <si>
    <t>Camion regador de agua Iveco 150 E 20N</t>
  </si>
  <si>
    <t>Camion regador de agua Iveco - Torreggiani Eurocargo 170 E 22</t>
  </si>
  <si>
    <t>Camion regador de asfalto Iveco - Fracchia Eurocargo 170 E 22 T</t>
  </si>
  <si>
    <t>Camión volcador c/ hidrogrúa Iveco - Hidro Grubert Eurocargo 17</t>
  </si>
  <si>
    <t>Motocompresor y martillos neumáticos</t>
  </si>
  <si>
    <t>Minicargadora Bobcat 863 H</t>
  </si>
  <si>
    <t>Martillo hidráulico Caterpillar H 130 DS</t>
  </si>
  <si>
    <t>Motocompresor Atlas Copco XAS 446</t>
  </si>
  <si>
    <t>Andamios</t>
  </si>
  <si>
    <t>Camión p/demarcación horizontal</t>
  </si>
  <si>
    <t>Aserradora de juntas Massa AJ 110</t>
  </si>
  <si>
    <t xml:space="preserve">Combustibles y Lubricantes (Nafta) </t>
  </si>
  <si>
    <t>Camioneta 4 x 4</t>
  </si>
  <si>
    <t>Furgoneta utilitaria</t>
  </si>
  <si>
    <t>Tractor Caterpillar Challenger CH 65 E</t>
  </si>
  <si>
    <t>Abulonadora</t>
  </si>
  <si>
    <t>Tirafondeadora</t>
  </si>
  <si>
    <t>Tronzadora de Rieles</t>
  </si>
  <si>
    <t>Grupo de Bateo</t>
  </si>
  <si>
    <t>Bateadora</t>
  </si>
  <si>
    <t>Perfiladora</t>
  </si>
  <si>
    <t>Locomotora - Tren de trabajo</t>
  </si>
  <si>
    <t>Tensor hidráulico para liberar tensiones</t>
  </si>
  <si>
    <t>Costo
Actual
Orig.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</si>
</sst>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7" formatCode="&quot;$&quot;\ #,##0.00;&quot;$&quot;\ \-#,##0.00"/>
    <numFmt numFmtId="44" formatCode="_ &quot;$&quot;\ * #,##0.00_ ;_ &quot;$&quot;\ * \-#,##0.00_ ;_ &quot;$&quot;\ * &quot;-&quot;??_ ;_ @_ "/>
    <numFmt numFmtId="43" formatCode="_ * #,##0.00_ ;_ * \-#,##0.00_ ;_ * &quot;-&quot;??_ ;_ @_ "/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_-* #,##0.00_-;\-* #,##0.00_-;_-* &quot;-&quot;??_-;_-@_-"/>
    <numFmt numFmtId="168" formatCode="_-[$€]* #,##0.00_-;\-[$€]* #,##0.00_-;_-[$€]* &quot;-&quot;??_-;_-@_-"/>
    <numFmt numFmtId="169" formatCode="_-&quot;$&quot;* #,##0.00_-;\-&quot;$&quot;* #,##0.00_-;_-&quot;$&quot;* &quot;-&quot;??_-;_-@_-"/>
    <numFmt numFmtId="170" formatCode="_(&quot;$&quot;* #,##0_);_(&quot;$&quot;* \(#,##0\);_(&quot;$&quot;* &quot;-&quot;_);_(@_)"/>
    <numFmt numFmtId="171" formatCode="_(&quot;$&quot;* #,##0.00_);_(&quot;$&quot;* \(#,##0.00\);_(&quot;$&quot;* &quot;-&quot;??_);_(@_)"/>
    <numFmt numFmtId="172" formatCode="0.00\ &quot;t/día&quot;"/>
    <numFmt numFmtId="173" formatCode="0.00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2"/>
      <name val="Arial"/>
      <family val="2"/>
    </font>
    <font>
      <b/>
      <u/>
      <sz val="12"/>
      <name val="Arial"/>
      <family val="2"/>
    </font>
    <font>
      <b/>
      <u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2"/>
      <name val="Arial"/>
      <family val="2"/>
    </font>
    <font>
      <i/>
      <sz val="11"/>
      <color indexed="23"/>
      <name val="Calibri"/>
      <family val="2"/>
    </font>
    <font>
      <sz val="10"/>
      <color indexed="24"/>
      <name val="Arial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3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name val="Tahoma"/>
      <family val="2"/>
    </font>
    <font>
      <sz val="10"/>
      <color theme="1"/>
      <name val="Tahoma"/>
      <family val="2"/>
    </font>
    <font>
      <sz val="11"/>
      <name val="Arial"/>
      <family val="2"/>
    </font>
    <font>
      <b/>
      <sz val="11"/>
      <color indexed="63"/>
      <name val="Calibri"/>
      <family val="2"/>
    </font>
    <font>
      <sz val="10"/>
      <color indexed="8"/>
      <name val="Tahoma"/>
      <family val="2"/>
    </font>
    <font>
      <b/>
      <sz val="18"/>
      <color indexed="8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10"/>
      <color theme="1"/>
      <name val="Arial"/>
      <family val="2"/>
    </font>
    <font>
      <sz val="10"/>
      <name val="Arial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63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9"/>
      </bottom>
      <diagonal/>
    </border>
    <border>
      <left/>
      <right/>
      <top/>
      <bottom style="medium">
        <color indexed="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28">
    <xf numFmtId="0" fontId="0" fillId="0" borderId="0"/>
    <xf numFmtId="164" fontId="5" fillId="0" borderId="0" applyFont="0" applyFill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5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5" borderId="14" applyNumberFormat="0" applyAlignment="0" applyProtection="0"/>
    <xf numFmtId="0" fontId="15" fillId="6" borderId="15" applyNumberFormat="0" applyAlignment="0" applyProtection="0"/>
    <xf numFmtId="167" fontId="5" fillId="0" borderId="0" applyFont="0" applyFill="0" applyBorder="0" applyAlignment="0" applyProtection="0"/>
    <xf numFmtId="0" fontId="2" fillId="0" borderId="0" applyProtection="0"/>
    <xf numFmtId="0" fontId="9" fillId="0" borderId="0"/>
    <xf numFmtId="0" fontId="2" fillId="0" borderId="0" applyNumberFormat="0" applyFont="0" applyFill="0" applyBorder="0" applyAlignment="0" applyProtection="0"/>
    <xf numFmtId="0" fontId="16" fillId="0" borderId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4" fontId="2" fillId="0" borderId="0" applyProtection="0"/>
    <xf numFmtId="0" fontId="19" fillId="10" borderId="0" applyNumberFormat="0" applyBorder="0" applyAlignment="0" applyProtection="0"/>
    <xf numFmtId="0" fontId="20" fillId="0" borderId="16" applyNumberFormat="0" applyFill="0" applyAlignment="0" applyProtection="0"/>
    <xf numFmtId="0" fontId="21" fillId="0" borderId="17" applyNumberFormat="0" applyFill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11" borderId="14" applyNumberFormat="0" applyAlignment="0" applyProtection="0"/>
    <xf numFmtId="0" fontId="24" fillId="0" borderId="19" applyNumberFormat="0" applyFill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70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7" fontId="2" fillId="0" borderId="0" applyProtection="0"/>
    <xf numFmtId="172" fontId="25" fillId="0" borderId="0" applyFont="0" applyFill="0" applyBorder="0" applyAlignment="0" applyProtection="0"/>
    <xf numFmtId="0" fontId="1" fillId="0" borderId="0"/>
    <xf numFmtId="0" fontId="5" fillId="0" borderId="0"/>
    <xf numFmtId="0" fontId="5" fillId="0" borderId="0"/>
    <xf numFmtId="0" fontId="9" fillId="0" borderId="0"/>
    <xf numFmtId="0" fontId="1" fillId="0" borderId="0"/>
    <xf numFmtId="0" fontId="5" fillId="0" borderId="0"/>
    <xf numFmtId="0" fontId="5" fillId="0" borderId="0"/>
    <xf numFmtId="0" fontId="26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25" fillId="0" borderId="0"/>
    <xf numFmtId="0" fontId="1" fillId="0" borderId="0"/>
    <xf numFmtId="0" fontId="5" fillId="12" borderId="20" applyNumberFormat="0" applyFont="0" applyAlignment="0" applyProtection="0"/>
    <xf numFmtId="0" fontId="28" fillId="5" borderId="21" applyNumberFormat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3" fontId="18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34" fillId="0" borderId="0" applyFont="0" applyFill="0" applyBorder="0" applyAlignment="0" applyProtection="0"/>
  </cellStyleXfs>
  <cellXfs count="94">
    <xf numFmtId="0" fontId="0" fillId="0" borderId="0" xfId="0"/>
    <xf numFmtId="0" fontId="2" fillId="0" borderId="0" xfId="0" applyFont="1" applyAlignment="1">
      <alignment horizontal="left" vertical="center"/>
    </xf>
    <xf numFmtId="0" fontId="4" fillId="0" borderId="0" xfId="0" applyFont="1" applyAlignment="1" applyProtection="1">
      <alignment horizontal="centerContinuous" vertical="top"/>
    </xf>
    <xf numFmtId="0" fontId="5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5" fillId="0" borderId="0" xfId="0" applyFont="1"/>
    <xf numFmtId="0" fontId="5" fillId="0" borderId="0" xfId="0" applyFont="1" applyAlignment="1" applyProtection="1">
      <alignment horizontal="left"/>
    </xf>
    <xf numFmtId="0" fontId="6" fillId="0" borderId="0" xfId="0" applyFont="1" applyProtection="1"/>
    <xf numFmtId="0" fontId="5" fillId="0" borderId="2" xfId="0" applyFont="1" applyBorder="1"/>
    <xf numFmtId="0" fontId="5" fillId="0" borderId="2" xfId="0" applyFont="1" applyBorder="1" applyAlignment="1" applyProtection="1">
      <alignment horizontal="center"/>
    </xf>
    <xf numFmtId="0" fontId="5" fillId="0" borderId="6" xfId="0" applyFont="1" applyBorder="1" applyAlignment="1" applyProtection="1">
      <alignment horizontal="center"/>
    </xf>
    <xf numFmtId="0" fontId="5" fillId="0" borderId="6" xfId="0" applyFont="1" applyBorder="1" applyAlignment="1">
      <alignment horizontal="center"/>
    </xf>
    <xf numFmtId="0" fontId="5" fillId="0" borderId="9" xfId="0" applyFont="1" applyBorder="1"/>
    <xf numFmtId="0" fontId="7" fillId="0" borderId="9" xfId="0" applyFont="1" applyFill="1" applyBorder="1" applyAlignment="1" applyProtection="1">
      <alignment horizontal="center"/>
    </xf>
    <xf numFmtId="0" fontId="7" fillId="2" borderId="9" xfId="0" applyFont="1" applyFill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center"/>
    </xf>
    <xf numFmtId="0" fontId="8" fillId="0" borderId="5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6" xfId="0" applyFont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7" xfId="0" applyFont="1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 applyProtection="1">
      <alignment horizontal="center" vertical="center"/>
    </xf>
    <xf numFmtId="0" fontId="8" fillId="2" borderId="12" xfId="0" applyFont="1" applyFill="1" applyBorder="1" applyAlignment="1" applyProtection="1">
      <alignment horizontal="center" vertical="center"/>
    </xf>
    <xf numFmtId="0" fontId="8" fillId="2" borderId="13" xfId="0" applyFont="1" applyFill="1" applyBorder="1" applyAlignment="1" applyProtection="1">
      <alignment horizontal="center" vertical="center"/>
    </xf>
    <xf numFmtId="0" fontId="5" fillId="3" borderId="0" xfId="0" applyFont="1" applyFill="1" applyAlignment="1">
      <alignment horizontal="center"/>
    </xf>
    <xf numFmtId="0" fontId="5" fillId="0" borderId="8" xfId="0" applyFont="1" applyBorder="1" applyAlignment="1" applyProtection="1">
      <alignment horizontal="center"/>
    </xf>
    <xf numFmtId="0" fontId="5" fillId="0" borderId="9" xfId="0" applyFont="1" applyBorder="1" applyAlignment="1">
      <alignment horizontal="left" indent="1"/>
    </xf>
    <xf numFmtId="165" fontId="5" fillId="0" borderId="9" xfId="1" applyNumberFormat="1" applyFont="1" applyBorder="1"/>
    <xf numFmtId="165" fontId="5" fillId="0" borderId="9" xfId="1" applyNumberFormat="1" applyFont="1" applyBorder="1" applyProtection="1"/>
    <xf numFmtId="164" fontId="5" fillId="2" borderId="9" xfId="1" applyFont="1" applyFill="1" applyBorder="1" applyProtection="1"/>
    <xf numFmtId="164" fontId="5" fillId="0" borderId="9" xfId="1" applyFont="1" applyBorder="1" applyAlignment="1">
      <alignment horizontal="center"/>
    </xf>
    <xf numFmtId="164" fontId="5" fillId="0" borderId="9" xfId="1" applyFont="1" applyBorder="1"/>
    <xf numFmtId="164" fontId="5" fillId="0" borderId="9" xfId="1" applyFont="1" applyBorder="1" applyProtection="1"/>
    <xf numFmtId="164" fontId="5" fillId="2" borderId="10" xfId="1" applyFont="1" applyFill="1" applyBorder="1" applyProtection="1"/>
    <xf numFmtId="0" fontId="0" fillId="0" borderId="0" xfId="0" applyAlignment="1">
      <alignment horizontal="center"/>
    </xf>
    <xf numFmtId="0" fontId="0" fillId="0" borderId="22" xfId="0" applyBorder="1" applyAlignment="1">
      <alignment horizontal="left" indent="1"/>
    </xf>
    <xf numFmtId="2" fontId="5" fillId="0" borderId="0" xfId="0" applyNumberFormat="1" applyFont="1"/>
    <xf numFmtId="0" fontId="0" fillId="0" borderId="0" xfId="0" applyFill="1"/>
    <xf numFmtId="0" fontId="5" fillId="0" borderId="0" xfId="0" applyFont="1" applyFill="1" applyAlignment="1">
      <alignment horizontal="centerContinuous"/>
    </xf>
    <xf numFmtId="0" fontId="5" fillId="0" borderId="0" xfId="0" applyFont="1" applyFill="1"/>
    <xf numFmtId="0" fontId="5" fillId="0" borderId="0" xfId="0" applyFont="1" applyFill="1" applyAlignment="1" applyProtection="1">
      <alignment horizontal="left"/>
    </xf>
    <xf numFmtId="0" fontId="8" fillId="13" borderId="6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5" fillId="13" borderId="2" xfId="0" applyFont="1" applyFill="1" applyBorder="1" applyAlignment="1" applyProtection="1">
      <alignment horizontal="center" vertical="center" wrapText="1"/>
    </xf>
    <xf numFmtId="0" fontId="5" fillId="13" borderId="9" xfId="0" applyFont="1" applyFill="1" applyBorder="1" applyAlignment="1" applyProtection="1">
      <alignment horizontal="center" vertical="center" wrapText="1"/>
    </xf>
    <xf numFmtId="164" fontId="5" fillId="13" borderId="9" xfId="1" applyFont="1" applyFill="1" applyBorder="1"/>
    <xf numFmtId="164" fontId="0" fillId="13" borderId="22" xfId="1" applyFont="1" applyFill="1" applyBorder="1"/>
    <xf numFmtId="164" fontId="5" fillId="13" borderId="22" xfId="1" applyFont="1" applyFill="1" applyBorder="1"/>
    <xf numFmtId="164" fontId="0" fillId="0" borderId="22" xfId="1" applyFont="1" applyBorder="1"/>
    <xf numFmtId="164" fontId="5" fillId="2" borderId="10" xfId="1" applyNumberFormat="1" applyFont="1" applyFill="1" applyBorder="1" applyProtection="1"/>
    <xf numFmtId="0" fontId="5" fillId="0" borderId="22" xfId="0" applyFont="1" applyBorder="1" applyAlignment="1">
      <alignment horizontal="left" indent="1"/>
    </xf>
    <xf numFmtId="164" fontId="5" fillId="0" borderId="9" xfId="1" applyFont="1" applyFill="1" applyBorder="1" applyProtection="1"/>
    <xf numFmtId="0" fontId="5" fillId="0" borderId="0" xfId="0" applyFont="1" applyFill="1" applyAlignment="1">
      <alignment horizontal="center"/>
    </xf>
    <xf numFmtId="0" fontId="5" fillId="0" borderId="8" xfId="0" applyFont="1" applyFill="1" applyBorder="1" applyAlignment="1" applyProtection="1">
      <alignment horizontal="center"/>
    </xf>
    <xf numFmtId="0" fontId="5" fillId="0" borderId="9" xfId="0" applyFont="1" applyFill="1" applyBorder="1" applyAlignment="1">
      <alignment horizontal="left" indent="1"/>
    </xf>
    <xf numFmtId="164" fontId="5" fillId="0" borderId="9" xfId="1" applyFont="1" applyFill="1" applyBorder="1"/>
    <xf numFmtId="165" fontId="5" fillId="0" borderId="9" xfId="1" applyNumberFormat="1" applyFont="1" applyFill="1" applyBorder="1"/>
    <xf numFmtId="165" fontId="5" fillId="0" borderId="9" xfId="1" applyNumberFormat="1" applyFont="1" applyFill="1" applyBorder="1" applyProtection="1"/>
    <xf numFmtId="164" fontId="5" fillId="0" borderId="9" xfId="1" applyFont="1" applyFill="1" applyBorder="1" applyAlignment="1">
      <alignment horizontal="center"/>
    </xf>
    <xf numFmtId="164" fontId="5" fillId="0" borderId="10" xfId="1" applyFont="1" applyFill="1" applyBorder="1" applyProtection="1"/>
    <xf numFmtId="164" fontId="0" fillId="13" borderId="9" xfId="1" applyFont="1" applyFill="1" applyBorder="1"/>
    <xf numFmtId="173" fontId="33" fillId="13" borderId="9" xfId="1" applyNumberFormat="1" applyFont="1" applyFill="1" applyBorder="1" applyAlignment="1">
      <alignment horizontal="center"/>
    </xf>
    <xf numFmtId="0" fontId="6" fillId="0" borderId="0" xfId="0" applyFont="1"/>
    <xf numFmtId="164" fontId="5" fillId="0" borderId="23" xfId="1" applyFont="1" applyFill="1" applyBorder="1"/>
    <xf numFmtId="164" fontId="0" fillId="0" borderId="22" xfId="1" applyFont="1" applyFill="1" applyBorder="1"/>
    <xf numFmtId="164" fontId="5" fillId="0" borderId="22" xfId="1" applyFont="1" applyFill="1" applyBorder="1"/>
    <xf numFmtId="0" fontId="5" fillId="0" borderId="22" xfId="0" applyFont="1" applyFill="1" applyBorder="1" applyAlignment="1">
      <alignment horizontal="left" indent="1"/>
    </xf>
    <xf numFmtId="3" fontId="32" fillId="0" borderId="22" xfId="71" applyNumberFormat="1" applyFont="1" applyFill="1" applyBorder="1" applyAlignment="1">
      <alignment vertical="center"/>
    </xf>
    <xf numFmtId="165" fontId="5" fillId="0" borderId="24" xfId="1" applyNumberFormat="1" applyFont="1" applyFill="1" applyBorder="1"/>
    <xf numFmtId="173" fontId="33" fillId="0" borderId="9" xfId="1" applyNumberFormat="1" applyFont="1" applyFill="1" applyBorder="1" applyAlignment="1">
      <alignment horizontal="center"/>
    </xf>
    <xf numFmtId="9" fontId="0" fillId="0" borderId="0" xfId="127" applyFont="1"/>
    <xf numFmtId="0" fontId="5" fillId="13" borderId="2" xfId="0" applyFont="1" applyFill="1" applyBorder="1" applyAlignment="1" applyProtection="1">
      <alignment horizontal="center" vertical="center" wrapText="1"/>
    </xf>
    <xf numFmtId="0" fontId="5" fillId="13" borderId="6" xfId="0" applyFont="1" applyFill="1" applyBorder="1" applyAlignment="1" applyProtection="1">
      <alignment horizontal="center" vertical="center"/>
    </xf>
    <xf numFmtId="0" fontId="5" fillId="13" borderId="9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5" fillId="0" borderId="8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6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9" xfId="0" applyFont="1" applyBorder="1" applyAlignment="1" applyProtection="1">
      <alignment horizontal="center" vertical="center" wrapText="1"/>
    </xf>
    <xf numFmtId="0" fontId="5" fillId="2" borderId="2" xfId="0" applyFont="1" applyFill="1" applyBorder="1" applyAlignment="1" applyProtection="1">
      <alignment horizontal="center" vertical="center" wrapText="1"/>
    </xf>
    <xf numFmtId="0" fontId="5" fillId="2" borderId="6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5" fillId="2" borderId="4" xfId="0" applyFont="1" applyFill="1" applyBorder="1" applyAlignment="1" applyProtection="1">
      <alignment horizontal="center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28">
    <cellStyle name="20% - Accent1" xfId="2"/>
    <cellStyle name="20% - Accent2" xfId="3"/>
    <cellStyle name="20% - Accent3" xfId="4"/>
    <cellStyle name="20% - Accent4" xfId="5"/>
    <cellStyle name="20% - Accent5" xfId="6"/>
    <cellStyle name="20% - Accent6" xfId="7"/>
    <cellStyle name="40% - Accent1" xfId="8"/>
    <cellStyle name="40% - Accent2" xfId="9"/>
    <cellStyle name="40% - Accent3" xfId="10"/>
    <cellStyle name="40% - Accent4" xfId="11"/>
    <cellStyle name="40% - Accent5" xfId="12"/>
    <cellStyle name="40% - Accent6" xfId="13"/>
    <cellStyle name="60% - Accent1" xfId="14"/>
    <cellStyle name="60% - Accent2" xfId="15"/>
    <cellStyle name="60% - Accent3" xfId="16"/>
    <cellStyle name="60% - Accent4" xfId="17"/>
    <cellStyle name="60% - Accent5" xfId="18"/>
    <cellStyle name="60% - Accent6" xfId="19"/>
    <cellStyle name="Accent1" xfId="20"/>
    <cellStyle name="Accent2" xfId="21"/>
    <cellStyle name="Accent3" xfId="22"/>
    <cellStyle name="Accent4" xfId="23"/>
    <cellStyle name="Accent5" xfId="24"/>
    <cellStyle name="Accent6" xfId="25"/>
    <cellStyle name="Bad" xfId="26"/>
    <cellStyle name="Cabecera 1" xfId="27"/>
    <cellStyle name="Cabecera 2" xfId="28"/>
    <cellStyle name="Calculation" xfId="29"/>
    <cellStyle name="Check Cell" xfId="30"/>
    <cellStyle name="Comma_Costo" xfId="31"/>
    <cellStyle name="DIA" xfId="32"/>
    <cellStyle name="Diseño" xfId="33"/>
    <cellStyle name="ENCABEZ1" xfId="34"/>
    <cellStyle name="ENCABEZ2" xfId="35"/>
    <cellStyle name="Euro" xfId="36"/>
    <cellStyle name="Euro 10" xfId="37"/>
    <cellStyle name="Euro 10 2" xfId="38"/>
    <cellStyle name="Euro 11" xfId="39"/>
    <cellStyle name="Euro 11 2" xfId="40"/>
    <cellStyle name="Euro 2" xfId="41"/>
    <cellStyle name="Euro 2 2" xfId="42"/>
    <cellStyle name="Euro 3" xfId="43"/>
    <cellStyle name="Euro 3 2" xfId="44"/>
    <cellStyle name="Euro 4" xfId="45"/>
    <cellStyle name="Euro 4 2" xfId="46"/>
    <cellStyle name="Euro 5" xfId="47"/>
    <cellStyle name="Euro 5 2" xfId="48"/>
    <cellStyle name="Euro 6" xfId="49"/>
    <cellStyle name="Euro 6 2" xfId="50"/>
    <cellStyle name="Euro 7" xfId="51"/>
    <cellStyle name="Euro 7 2" xfId="52"/>
    <cellStyle name="Euro 8" xfId="53"/>
    <cellStyle name="Euro 8 2" xfId="54"/>
    <cellStyle name="Euro 9" xfId="55"/>
    <cellStyle name="Euro 9 2" xfId="56"/>
    <cellStyle name="Explanatory Text" xfId="57"/>
    <cellStyle name="Fecha" xfId="58"/>
    <cellStyle name="Fijo" xfId="59"/>
    <cellStyle name="FINANCIERO" xfId="60"/>
    <cellStyle name="Good" xfId="61"/>
    <cellStyle name="Heading 1" xfId="62"/>
    <cellStyle name="Heading 2" xfId="63"/>
    <cellStyle name="Heading 3" xfId="64"/>
    <cellStyle name="Heading 4" xfId="65"/>
    <cellStyle name="Input" xfId="66"/>
    <cellStyle name="Linked Cell" xfId="67"/>
    <cellStyle name="Millares" xfId="1" builtinId="3"/>
    <cellStyle name="Millares 10" xfId="68"/>
    <cellStyle name="Millares 10 2" xfId="69"/>
    <cellStyle name="Millares 2" xfId="70"/>
    <cellStyle name="Millares 2 2" xfId="71"/>
    <cellStyle name="Millares 3" xfId="72"/>
    <cellStyle name="Millares 3 2" xfId="73"/>
    <cellStyle name="Millares 4" xfId="74"/>
    <cellStyle name="Millares 4 2" xfId="75"/>
    <cellStyle name="Millares 5" xfId="76"/>
    <cellStyle name="Millares 6" xfId="77"/>
    <cellStyle name="Millares 6 2" xfId="78"/>
    <cellStyle name="Millares 7" xfId="79"/>
    <cellStyle name="Millares 8" xfId="80"/>
    <cellStyle name="Millares 9" xfId="81"/>
    <cellStyle name="Millares 9 2" xfId="82"/>
    <cellStyle name="Moeda [0]_MATSUBCAJ" xfId="83"/>
    <cellStyle name="Moeda_MATSUBCAJ" xfId="84"/>
    <cellStyle name="Moneda 10" xfId="85"/>
    <cellStyle name="Moneda 10 2" xfId="86"/>
    <cellStyle name="Moneda 2" xfId="87"/>
    <cellStyle name="Moneda 2 2" xfId="88"/>
    <cellStyle name="Moneda 3" xfId="89"/>
    <cellStyle name="Moneda 3 2" xfId="90"/>
    <cellStyle name="Moneda 4" xfId="91"/>
    <cellStyle name="Moneda 5" xfId="92"/>
    <cellStyle name="Moneda 5 2" xfId="93"/>
    <cellStyle name="Moneda 9" xfId="94"/>
    <cellStyle name="Moneda 9 2" xfId="95"/>
    <cellStyle name="MONETARIO" xfId="96"/>
    <cellStyle name="Monetario0" xfId="97"/>
    <cellStyle name="Normal" xfId="0" builtinId="0"/>
    <cellStyle name="Normal 2" xfId="98"/>
    <cellStyle name="Normal 2 2" xfId="99"/>
    <cellStyle name="Normal 2 3" xfId="100"/>
    <cellStyle name="Normal 2_CRONOGRAMA_OBRAS(1)" xfId="101"/>
    <cellStyle name="Normal 3" xfId="102"/>
    <cellStyle name="Normal 3 2" xfId="103"/>
    <cellStyle name="Normal 3 2 2" xfId="104"/>
    <cellStyle name="Normal 3 3" xfId="105"/>
    <cellStyle name="Normal 4" xfId="106"/>
    <cellStyle name="Normal 4 2" xfId="107"/>
    <cellStyle name="Normal 5" xfId="108"/>
    <cellStyle name="Normal 5 2" xfId="109"/>
    <cellStyle name="Normal 6" xfId="110"/>
    <cellStyle name="Normal 7" xfId="111"/>
    <cellStyle name="Note" xfId="112"/>
    <cellStyle name="Output" xfId="113"/>
    <cellStyle name="Porcentaje" xfId="127" builtinId="5"/>
    <cellStyle name="Porcentaje 2" xfId="114"/>
    <cellStyle name="Porcentual 2" xfId="115"/>
    <cellStyle name="Porcentual 2 2" xfId="116"/>
    <cellStyle name="Porcentual 3" xfId="117"/>
    <cellStyle name="Porcentual 3 2" xfId="118"/>
    <cellStyle name="Porcentual 4" xfId="119"/>
    <cellStyle name="Porcentual 4 2" xfId="120"/>
    <cellStyle name="Porcentual 5" xfId="121"/>
    <cellStyle name="Porcentual 8" xfId="122"/>
    <cellStyle name="Porcentual 8 2" xfId="123"/>
    <cellStyle name="Punto0" xfId="124"/>
    <cellStyle name="Title" xfId="125"/>
    <cellStyle name="Warning Text" xfId="126"/>
  </cellStyles>
  <dxfs count="7">
    <dxf>
      <font>
        <b/>
        <i val="0"/>
        <condense val="0"/>
        <extend val="0"/>
        <color indexed="20"/>
      </font>
    </dxf>
    <dxf>
      <font>
        <b/>
        <i val="0"/>
        <condense val="0"/>
        <extend val="0"/>
        <color indexed="20"/>
      </font>
    </dxf>
    <dxf>
      <font>
        <b/>
        <i val="0"/>
        <condense val="0"/>
        <extend val="0"/>
        <color indexed="20"/>
      </font>
    </dxf>
    <dxf>
      <font>
        <b/>
        <i val="0"/>
        <condense val="0"/>
        <extend val="0"/>
        <color indexed="20"/>
      </font>
    </dxf>
    <dxf>
      <font>
        <b/>
        <i val="0"/>
        <condense val="0"/>
        <extend val="0"/>
        <color indexed="20"/>
      </font>
    </dxf>
    <dxf>
      <font>
        <b/>
        <i val="0"/>
        <condense val="0"/>
        <extend val="0"/>
        <color indexed="20"/>
      </font>
    </dxf>
    <dxf>
      <font>
        <b/>
        <i val="0"/>
        <condense val="0"/>
        <extend val="0"/>
        <color indexed="20"/>
      </font>
    </dxf>
  </dxfs>
  <tableStyles count="0" defaultTableStyle="TableStyleMedium2" defaultPivotStyle="PivotStyleLight16"/>
  <colors>
    <mruColors>
      <color rgb="FF73EE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26" Type="http://schemas.openxmlformats.org/officeDocument/2006/relationships/externalLink" Target="externalLinks/externalLink25.xml"/><Relationship Id="rId3" Type="http://schemas.openxmlformats.org/officeDocument/2006/relationships/externalLink" Target="externalLinks/externalLink2.xml"/><Relationship Id="rId21" Type="http://schemas.openxmlformats.org/officeDocument/2006/relationships/externalLink" Target="externalLinks/externalLink20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externalLink" Target="externalLinks/externalLink24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externalLink" Target="externalLinks/externalLink19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23.xml"/><Relationship Id="rId32" Type="http://schemas.microsoft.com/office/2006/relationships/vbaProject" Target="vbaProject.bin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externalLink" Target="externalLinks/externalLink22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9.xml"/><Relationship Id="rId19" Type="http://schemas.openxmlformats.org/officeDocument/2006/relationships/externalLink" Target="externalLinks/externalLink18.xml"/><Relationship Id="rId31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openxmlformats.org/officeDocument/2006/relationships/externalLink" Target="externalLinks/externalLink26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498474</xdr:colOff>
      <xdr:row>1</xdr:row>
      <xdr:rowOff>57487</xdr:rowOff>
    </xdr:from>
    <xdr:to>
      <xdr:col>18</xdr:col>
      <xdr:colOff>654050</xdr:colOff>
      <xdr:row>4</xdr:row>
      <xdr:rowOff>147795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21974" y="216237"/>
          <a:ext cx="2463800" cy="566558"/>
        </a:xfrm>
        <a:prstGeom prst="rect">
          <a:avLst/>
        </a:prstGeom>
      </xdr:spPr>
    </xdr:pic>
    <xdr:clientData/>
  </xdr:twoCellAnchor>
  <xdr:twoCellAnchor editAs="oneCell">
    <xdr:from>
      <xdr:col>1</xdr:col>
      <xdr:colOff>253999</xdr:colOff>
      <xdr:row>1</xdr:row>
      <xdr:rowOff>2021</xdr:rowOff>
    </xdr:from>
    <xdr:to>
      <xdr:col>2</xdr:col>
      <xdr:colOff>1609723</xdr:colOff>
      <xdr:row>3</xdr:row>
      <xdr:rowOff>123824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999" y="160771"/>
          <a:ext cx="1768475" cy="4393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WINDOWS\TEMP\Coef%20OR%20y%20OIO_Malla%20131_10_1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DNV\Supervisi&#243;n%20de%20Obras\RNN&#176;%2040\Redeterminaci&#243;n%20de%20Precios\Redeterminaci&#243;n%20al%2030%20de%20junio%20de%202002_obra%2023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Documents%20and%20Settings\Elisa\Mis%20documentos\Elisa\Vialidad\CReMa%202003%20hasta%2014_02_06\Malla%20133_Nov_2005\133_correccion%20se&#241;alamiento_26_01_06\Recuperacion%20camino_M133_26_01_06_FINA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PROYECTO\C.Re.Ma%202003\Malla%20133_Nov_2005\133_correccion%20se&#241;alamiento_26_01_06\Recuperacion%20camino_M133_26_01_06_FINA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Documents%20and%20Settings\User\Mis%20documentos\Elisa\Vialidad\CReMa%202003\Readecuaci&#243;n\Coef%20Mantenimiento%20Malla%20133_READEC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antenimiento%20Malla%20106_Feb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DNV\Supervisi&#243;n%20de%20Obras\RNN&#176;%2040\Redeterminaci&#243;n%20de%20Precios\ANALISIS%20REDETERM%20SALADO%20II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DNV\Inspecci&#243;n%20de%20Obras\REDET_PRECIOS\Readec_Mallas_finales_120405\Coef%20OR%20y%20OIO_Malla%20106_READECUADO_1304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Documents%20and%20Settings\user\Mis%20documentos\PROYECTO\C.Re.Ma%202003\Malla%20106%20Feb_07\Presup%20106%20y%20PTP_FTN_Feb07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PROYECTO\C.Re.Ma%202003\Malla%20131_Ruta%2040_Cat_CCura\Enviado%20a%20Buenos%20Aires%20el%2010_12\Coef%20OR%20y%20OIO_Malla%20131_10_1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DNV\Supervisi&#243;n%20de%20Obras\RNN&#176;%2040\Redeterminaci&#243;n%20de%20Precios\ANALISIS%20REDETERM%20SALADO_Alvarez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PROYECTO\C.Re.Ma%202003\Malla%20106_Nuevo\READECUACION_PRESENTACION%20PARA%20LICITACION\Vialidad\CReMa%202003\Malla%20131_CatanLil_CollonCura\Coef%20Obras%20de%20Recup%20y%20Otras%20Int%20Oblig_Malla%2013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emote10d\10&#176;%20distrito\10&#186;%20DISTRITO\B.I.R.F\C.Re.Ma\Malla%20503\Analisis%20_Actualizaciones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DNV\Supervisi&#243;n%20de%20Obras\RNN&#176;%2040\Redeterminaci&#243;n%20de%20Precios\REDET_Pte%20Pilmatu&#233;_050304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DNV\Supervisi&#243;n%20de%20Obras\RNN&#176;%2040\Redeterminaci&#243;n%20de%20Precios\REDET_Pte%20Pilmatu&#233;_16120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alla%20106\ANAL231automat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ecfs01\presupuestos\1835-36%20-%20DNV%20-%20R.N.%20N&#176;9%20-%20Autopista%20Rosario%20-%20C&#243;rdoba\LP%20146%20-%20Presentaci&#243;n\LP%20146%20-%20Alt%20Ho%20(1)\LP%20146%20-%20Alt.%20Ho%20(1)%20-%20AnP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Presupuestos\2551%20-%20Paseo%20del%20Bajo\Tramo%20A%20-%20Viaducto\Documentos%20de%20la%20Oferta\SOBRE%202\4%20-%20An&#225;lisis%20de%20costos%20de%20materiales,%20equipos%20y%20mano%20de%20obra\AnP%20(AUSA)%20Nazca%20-%20Presentaci&#243;n-0709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2kiecsa\presupuestos\+%20Licitaciones\1834%20-%20DNV%20-%20Malla%20N&#186;%20204%20-%20C&#243;rdoba\Presentaci&#243;n\Malla%20N&#186;%20204%20-%20AnP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COMPARTIDOS\Mantenimiento%20Rutina%20Malla%20106_READEC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PROYECTO\C.Re.Ma%202003\Malla%20133_Ruta%20234\READECUACION_PRESENTADO%20PARA%20LICITACION\Puente_M133_READEC_150405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Recuperacion%20camino_M133_READEC_20_11_05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Coef%20Mantenimiento%20Rutina%2025_Malla%20133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Documents%20and%20Settings\usuario\Mis%20documentos\PROYECTO\C.Re.Ma%202003\Malla%20106%20Feb_07\Recuperaci&#243;n%20106_FTN_Feb07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is%20documentos\DNV\Supervisi&#243;n%20de%20Obras\RNN&#176;%2040\Redeterminaci&#243;n%20de%20Precios\Redet_RNN&#176;%2040_Pilmatu&#233;_Rehecha_130904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AUX\trabajo\Malla%20106\Documents%20and%20Settings\User\Mis%20documentos\Elisa\Vialidad\CReMa%202003\Readecuaci&#243;n\Listos%2012_04_05\Mantenimiento%20Malla%20133_READE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mputo Recuperacion Redet."/>
      <sheetName val="Cómputo OIO Redet. "/>
      <sheetName val="Presupuesto OIO"/>
      <sheetName val="Presupuesto OR"/>
      <sheetName val="Precios"/>
      <sheetName val="Costo de Equipos"/>
      <sheetName val="Valores Const"/>
      <sheetName val="Obra Basica"/>
      <sheetName val="Escarificado_c_coef"/>
      <sheetName val="SubBase_c_coef"/>
      <sheetName val="Base_c_coef"/>
      <sheetName val="Banquina_c_coef"/>
      <sheetName val="Sellado fisuras_c_coef"/>
      <sheetName val="Riego de liga_c_coef "/>
      <sheetName val="Imprimacion_c_coef"/>
      <sheetName val="Carpeta_c_coef"/>
      <sheetName val="Bacheo c_coef"/>
      <sheetName val="Terraplen_c_coef"/>
      <sheetName val="Rest.Drenaje_c_coef"/>
      <sheetName val="Gaviones_c_coef"/>
      <sheetName val="Dren_c_coef"/>
      <sheetName val="Retiro Derrumbes_c_coef"/>
      <sheetName val="Limpieza y traslado_c_coef"/>
      <sheetName val="Retiro y recol Baranda_c_coef"/>
      <sheetName val="Hormigon_rep_de cunetas_c_coef"/>
      <sheetName val="Acond.Contratalud_c_coef"/>
      <sheetName val="Rep.Alcantarillas_c_coef"/>
      <sheetName val="Read_Sist_Drenaje Pr1071_c_coef"/>
      <sheetName val="Saneamiento 1103_c_coef"/>
      <sheetName val="Baranda_c_coef"/>
      <sheetName val="Alteo de muros y guard_c_coef"/>
      <sheetName val="SeñHoriz_c_coef"/>
      <sheetName val="Mat.Comerciales"/>
      <sheetName val="Mat explotados Base"/>
      <sheetName val="Mat explotados Arena"/>
      <sheetName val="Mat explotados ArenaTrit"/>
      <sheetName val="Mat explotados PiedraTrit"/>
      <sheetName val="Materiales comerciales c_coef"/>
      <sheetName val="Coefientes Generales"/>
      <sheetName val="Hoja2"/>
      <sheetName val="Hoja3"/>
      <sheetName val="Rest_Drenaje_c_coef"/>
      <sheetName val="Acond_Contratalud_c_co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IS DE PRECIOS REDETERM"/>
      <sheetName val="ANAL_ PRECIOS_originales_ 1ªMod"/>
      <sheetName val="ANALISIS DE PRECIOS 1ªMod_Redet"/>
      <sheetName val="mat explot por UTE_PUENTE"/>
      <sheetName val="redeterminacion obra faltante"/>
      <sheetName val="INSUMOS"/>
      <sheetName val="INSUMOS p_It_1ª Mod_(ago_2001)"/>
      <sheetName val="tablasVN"/>
      <sheetName val="tablasVN p_It_1ª Mod_(ago_2001)"/>
      <sheetName val="Acta de Redeterminac-de Prec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 ANTES DE MODIF!!!!"/>
      <sheetName val="Comp_Presup_original"/>
      <sheetName val="Coefientes Generales p_Seccion"/>
      <sheetName val="Planilla Porcentual"/>
      <sheetName val="Comp_Presup_READEC"/>
      <sheetName val="Variación Insumos"/>
      <sheetName val="Precios"/>
      <sheetName val="Precios_READEC"/>
      <sheetName val="Costo de Equipos"/>
      <sheetName val="Valores Const_nueva MdeO"/>
      <sheetName val="Valores Const"/>
      <sheetName val="Valores Const_READEC"/>
      <sheetName val="Bacheo con saneam."/>
      <sheetName val="Bacheo con saneam_READEC"/>
      <sheetName val="Sellado fisuras_c_coef"/>
      <sheetName val="Sellado fisuras_READEC"/>
      <sheetName val="Relleno ahuellam."/>
      <sheetName val="Relleno ahuellam_READEC"/>
      <sheetName val="Carpeta_c_coef"/>
      <sheetName val="Carpeta_READEC"/>
      <sheetName val="Banquina_c_coef"/>
      <sheetName val="Banquina_READEC"/>
      <sheetName val="Terraplen_c_coef"/>
      <sheetName val="Terraplen_READEC"/>
      <sheetName val="Terraplen sin comp c_coef_NO!"/>
      <sheetName val="Terraplen sin comp _READEC_NO!"/>
      <sheetName val="Escarificado"/>
      <sheetName val="Escarificado_READEC"/>
      <sheetName val="SubBase_c_coef"/>
      <sheetName val="SubBase_READEC"/>
      <sheetName val="Base_c_coef"/>
      <sheetName val="Base_READEC"/>
      <sheetName val="Riego imprim."/>
      <sheetName val="Riego imprim_READEC"/>
      <sheetName val="Obra Basica"/>
      <sheetName val="Obra Basica_READEC"/>
      <sheetName val="Alteo de muros y guard_c_co (2)"/>
      <sheetName val="Alteo de muros y guard_READEC"/>
      <sheetName val="Excavacion_c_coef"/>
      <sheetName val="Excavacion_READEC"/>
      <sheetName val="Dren_c_coef"/>
      <sheetName val="Dren_READEC"/>
      <sheetName val="Baranda_c_coef"/>
      <sheetName val="Baranda_READEC"/>
      <sheetName val="Retiro y recol Pretiles"/>
      <sheetName val="Retiro y recol Pretiles_READEC"/>
      <sheetName val="SeñHoriz_c_coef"/>
      <sheetName val="SeñHoriz_READEC"/>
      <sheetName val="Senda Peatonal"/>
      <sheetName val="Senda Peatonal_READEC"/>
      <sheetName val="BarandaPasamano_c_coef"/>
      <sheetName val="BarandaPasamano_c_coef_READEC"/>
      <sheetName val="CICLOVIA"/>
      <sheetName val="CICLOVIA_READEC"/>
      <sheetName val="ImprimReforzada"/>
      <sheetName val="ImprimReforzada_READEC"/>
      <sheetName val="Rep.Pte.C.Cura"/>
      <sheetName val="Rep.Pte.C.Cura_READEC"/>
      <sheetName val="Junta de Dilatación_c_coef"/>
      <sheetName val="Junta de Dilatación_c_co_READEC"/>
      <sheetName val="Hormigon_rep_de cunetas_c_coef"/>
      <sheetName val="Hormigon_rep_de cunetas_READEC"/>
      <sheetName val="BandasOSonoras_c_coef"/>
      <sheetName val="BandasOSonoras_READEC"/>
      <sheetName val="Rep.IntegralAlc_c_coef"/>
      <sheetName val="Rep.IntegralAlc_READEC"/>
      <sheetName val="Microaglomerado"/>
      <sheetName val="Microaglomerado_READEC"/>
      <sheetName val="RepSocava80.26"/>
      <sheetName val="RepSocava80.26_READEC"/>
      <sheetName val="Riego de liga_c_coef "/>
      <sheetName val="Rep.IntegralPteRºHermoso"/>
      <sheetName val="Rep.IntegralPteRºHermoso_READEC"/>
      <sheetName val="Rep.IntegralPteAºPartido"/>
      <sheetName val="Rep.IntegralPteAºPartido_READEC"/>
      <sheetName val="Riego de liga_READEC"/>
      <sheetName val="Gaviones_c_coef"/>
      <sheetName val="Gaviones_READEC"/>
      <sheetName val="Retiro y recol Baranda_c_coef"/>
      <sheetName val="Retiro_recol Baran_READEC"/>
      <sheetName val="Hormigon_CLASE &quot;C&quot;"/>
      <sheetName val="Hormigon_CLASE &quot;C&quot;_READEC"/>
      <sheetName val="Señal vertical_c_coef"/>
      <sheetName val="Señal vertical_READEC"/>
      <sheetName val="Mat.Comerciales"/>
      <sheetName val="Mat.ComercialesREADEC"/>
      <sheetName val="Mat explotados Base"/>
      <sheetName val="Mat explotados BaseREADEC"/>
      <sheetName val="Mat explotados Arena"/>
      <sheetName val="Mat explotados ArenaREADEC"/>
      <sheetName val="Mat explotados ArenaTrit"/>
      <sheetName val="Mat explotados ArenaTritREADEC"/>
      <sheetName val="Mat explotados PiedraTrit"/>
      <sheetName val="Mat explotados PiedraTritREADEC"/>
      <sheetName val="Materiales comerciales c_coef"/>
      <sheetName val="Rest.Drenaje_c_coef"/>
      <sheetName val="Rest.Drenaje_READEC"/>
      <sheetName val="Rotondas"/>
      <sheetName val="Rotondas_READEC"/>
      <sheetName val="Acc.Chimehuin"/>
      <sheetName val="Acc.Chimehuin_READEC"/>
      <sheetName val="Coefientes Generales"/>
      <sheetName val="Materiales comerciales_READEC"/>
      <sheetName val="Hoja3"/>
      <sheetName val="Rep_Pte_C_Cura_READEC"/>
      <sheetName val="Rep_IntegralAlc_READEC"/>
      <sheetName val="RepSocava80_26_READEC"/>
      <sheetName val="Rep_IntegralPteRºHermoso_READEC"/>
      <sheetName val="Acc_Chimehuin_READ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 ANTES DE MODIF!!!!"/>
      <sheetName val="Comp_Presup_original"/>
      <sheetName val="Coefientes Generales p_Seccion"/>
      <sheetName val="Planilla Porcentual"/>
      <sheetName val="Comp_Presup_READEC"/>
      <sheetName val="Variación Insumos"/>
      <sheetName val="Precios"/>
      <sheetName val="Precios_READEC"/>
      <sheetName val="Costo de Equipos"/>
      <sheetName val="Valores Const_nueva MdeO"/>
      <sheetName val="Valores Const"/>
      <sheetName val="Valores Const_READEC"/>
      <sheetName val="Bacheo con saneam."/>
      <sheetName val="Bacheo con saneam_READEC"/>
      <sheetName val="Sellado fisuras_c_coef"/>
      <sheetName val="Sellado fisuras_READEC"/>
      <sheetName val="Relleno ahuellam."/>
      <sheetName val="Relleno ahuellam_READEC"/>
      <sheetName val="Carpeta_c_coef"/>
      <sheetName val="Carpeta_READEC"/>
      <sheetName val="Banquina_c_coef"/>
      <sheetName val="Banquina_READEC"/>
      <sheetName val="Terraplen_c_coef"/>
      <sheetName val="Terraplen_READEC"/>
      <sheetName val="Terraplen sin comp c_coef_NO!"/>
      <sheetName val="Terraplen sin comp _READEC_NO!"/>
      <sheetName val="Escarificado"/>
      <sheetName val="Escarificado_READEC"/>
      <sheetName val="SubBase_c_coef"/>
      <sheetName val="SubBase_READEC"/>
      <sheetName val="Base_c_coef"/>
      <sheetName val="Base_READEC"/>
      <sheetName val="Riego imprim."/>
      <sheetName val="Riego imprim_READEC"/>
      <sheetName val="Obra Basica"/>
      <sheetName val="Obra Basica_READEC"/>
      <sheetName val="Alteo de muros y guard_c_co (2)"/>
      <sheetName val="Alteo de muros y guard_READEC"/>
      <sheetName val="Excavacion_c_coef"/>
      <sheetName val="Excavacion_READEC"/>
      <sheetName val="Dren_c_coef"/>
      <sheetName val="Dren_READEC"/>
      <sheetName val="Baranda_c_coef"/>
      <sheetName val="Baranda_READEC"/>
      <sheetName val="Retiro y recol Pretiles"/>
      <sheetName val="Retiro y recol Pretiles_READEC"/>
      <sheetName val="SeñHoriz_c_coef"/>
      <sheetName val="SeñHoriz_READEC"/>
      <sheetName val="Senda Peatonal"/>
      <sheetName val="Senda Peatonal_READEC"/>
      <sheetName val="BarandaPasamano_c_coef"/>
      <sheetName val="BarandaPasamano_c_coef_READEC"/>
      <sheetName val="CICLOVIA"/>
      <sheetName val="CICLOVIA_READEC"/>
      <sheetName val="ImprimReforzada"/>
      <sheetName val="ImprimReforzada_READEC"/>
      <sheetName val="Rep.Pte.C.Cura"/>
      <sheetName val="Rep.Pte.C.Cura_READEC"/>
      <sheetName val="Junta de Dilatación_c_coef"/>
      <sheetName val="Junta de Dilatación_c_co_READEC"/>
      <sheetName val="Hormigon_rep_de cunetas_c_coef"/>
      <sheetName val="Hormigon_rep_de cunetas_READEC"/>
      <sheetName val="BandasOSonoras_c_coef"/>
      <sheetName val="BandasOSonoras_READEC"/>
      <sheetName val="Rep.IntegralAlc_c_coef"/>
      <sheetName val="Rep.IntegralAlc_READEC"/>
      <sheetName val="Microaglomerado"/>
      <sheetName val="Microaglomerado_READEC"/>
      <sheetName val="RepSocava80.26"/>
      <sheetName val="RepSocava80.26_READEC"/>
      <sheetName val="Riego de liga_c_coef "/>
      <sheetName val="Rep.IntegralPteRºHermoso"/>
      <sheetName val="Rep.IntegralPteRºHermoso_READEC"/>
      <sheetName val="Rep.IntegralPteAºPartido"/>
      <sheetName val="Rep.IntegralPteAºPartido_READEC"/>
      <sheetName val="Riego de liga_READEC"/>
      <sheetName val="Gaviones_c_coef"/>
      <sheetName val="Gaviones_READEC"/>
      <sheetName val="Retiro y recol Baranda_c_coef"/>
      <sheetName val="Retiro_recol Baran_READEC"/>
      <sheetName val="Hormigon_CLASE &quot;C&quot;"/>
      <sheetName val="Hormigon_CLASE &quot;C&quot;_READEC"/>
      <sheetName val="Señal vertical_c_coef"/>
      <sheetName val="Señal vertical_READEC"/>
      <sheetName val="Mat.Comerciales"/>
      <sheetName val="Mat.ComercialesREADEC"/>
      <sheetName val="Mat explotados Base"/>
      <sheetName val="Mat explotados BaseREADEC"/>
      <sheetName val="Mat explotados Arena"/>
      <sheetName val="Mat explotados ArenaREADEC"/>
      <sheetName val="Mat explotados ArenaTrit"/>
      <sheetName val="Mat explotados ArenaTritREADEC"/>
      <sheetName val="Mat explotados PiedraTrit"/>
      <sheetName val="Mat explotados PiedraTritREADEC"/>
      <sheetName val="Materiales comerciales c_coef"/>
      <sheetName val="Rest.Drenaje_c_coef"/>
      <sheetName val="Rest.Drenaje_READEC"/>
      <sheetName val="Rotondas"/>
      <sheetName val="Rotondas_READEC"/>
      <sheetName val="Acc.Chimehuin"/>
      <sheetName val="Acc.Chimehuin_READEC"/>
      <sheetName val="Coefientes Generales"/>
      <sheetName val="Materiales comerciales_READEC"/>
      <sheetName val="Hoja3"/>
      <sheetName val="Hormigon_CLASE _C__READEC"/>
      <sheetName val="Rest_Drenaje_READ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mputo Mant.Rutina"/>
      <sheetName val="Presupuesto MantRutina"/>
      <sheetName val="Presupuesto MantRutina_READEC"/>
      <sheetName val="Precios"/>
      <sheetName val="Precios_READEC"/>
      <sheetName val="Costo de Equipos"/>
      <sheetName val="Variación Insumos"/>
      <sheetName val="Equipo Min"/>
      <sheetName val="Valores Const"/>
      <sheetName val="Valores Const_READEC"/>
      <sheetName val="Sin uso"/>
      <sheetName val="Bacheo c_coef"/>
      <sheetName val="Bacheo c_coef_READEC"/>
      <sheetName val="Sellado fisuras_c_coef"/>
      <sheetName val="Sellado fisuras_c_coef_READEC"/>
      <sheetName val="corte de pastos_c_coef"/>
      <sheetName val="corte de pastos_c_coef_READEC"/>
      <sheetName val="Desembanque_c_coef"/>
      <sheetName val="Desembanque_c_coef_READEC"/>
      <sheetName val="Pintado_c_coef"/>
      <sheetName val="Pintado_c_coef_READEC"/>
      <sheetName val="Señalamiento_c_coef"/>
      <sheetName val="Señalamiento_c_coef_READEC"/>
      <sheetName val="Banquina_c_coef"/>
      <sheetName val="Banquina_c_coef_READEC"/>
      <sheetName val="perfilado_c_coef "/>
      <sheetName val="perfilado_c_coef_READEC"/>
      <sheetName val="limpieza_c_coef"/>
      <sheetName val="limpieza_c_coef_READEC"/>
      <sheetName val="Baranda_c_coef "/>
      <sheetName val="Baranda_c_coef_READEC"/>
      <sheetName val="limpieza señales_c_coef"/>
      <sheetName val="limpieza señales_c_coef_READEC"/>
      <sheetName val="Pretiles_c_coef"/>
      <sheetName val="Pretiles_c_coef_READEC"/>
      <sheetName val="invernal_c_coef"/>
      <sheetName val="invernal_c_coef_READEC"/>
      <sheetName val="Mat explotados Base-Banq"/>
      <sheetName val="Mat explotados Base-Banq_READEC"/>
      <sheetName val="Mat explotados Arena"/>
      <sheetName val="Mat explotados Arena_READEC"/>
      <sheetName val="Mat explotados ArenaTrit"/>
      <sheetName val="Mat explotados ArenaTrit_READEC"/>
      <sheetName val="Mat explotados PiedraTrit"/>
      <sheetName val="Mat explotados PiedraTrit_READE"/>
      <sheetName val="Mat.Comerciales"/>
      <sheetName val="Materiales comerciales c_coef"/>
      <sheetName val="Materiales comerciales c_co_REA"/>
      <sheetName val="Coefientes Generales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mputo Mant.Rutina"/>
      <sheetName val="Presupuesto MantRutina"/>
      <sheetName val="Presupuesto MantRutina_READEC"/>
      <sheetName val="Precios"/>
      <sheetName val="Precios_READEC"/>
      <sheetName val="Comparación Precios"/>
      <sheetName val="Costo de Equipos"/>
      <sheetName val="Variación Insumos"/>
      <sheetName val="Valores Const_nueva MdeO"/>
      <sheetName val="Valores Const"/>
      <sheetName val="Valores Const_READEC"/>
      <sheetName val="Mat.Comerciales"/>
      <sheetName val="Mat.Comerciales READEC"/>
      <sheetName val="Vivienda"/>
      <sheetName val="Movilidad 4x4"/>
      <sheetName val="Movilidad 4x4_READEC"/>
      <sheetName val="Movilidad sedan"/>
      <sheetName val="Movilidad sedan_READEC"/>
      <sheetName val="Ayudantes Balanza"/>
      <sheetName val="Ayudantes Balanza_READEC"/>
      <sheetName val="Bacheo c_coef"/>
      <sheetName val="Bacheo c_coef_READEC"/>
      <sheetName val="Sellado fisuras_c_coef"/>
      <sheetName val="Sellado fisuras_c_coef READEC"/>
      <sheetName val="corte de pastos_c_coef"/>
      <sheetName val="corte de pastos_c_coef_READEC"/>
      <sheetName val="Desembanque_c_coef"/>
      <sheetName val="Desembanque_c_coef_READEC"/>
      <sheetName val="Pintado_c_coef"/>
      <sheetName val="Pintado_c_coef_READEC"/>
      <sheetName val="Señalvertical_c_coef"/>
      <sheetName val="Señalvertical_c_coef_READEC"/>
      <sheetName val="Banquina_c_coef"/>
      <sheetName val="Banquina_c_coef_READEC"/>
      <sheetName val="Mat Banquina_c_coef"/>
      <sheetName val="Mat Banquina_c_coef_READEC"/>
      <sheetName val="perfilado_c_coef "/>
      <sheetName val="perfilado_c_coef_READEC"/>
      <sheetName val="limpieza gral_c_coef"/>
      <sheetName val="limpieza gral _c_coef_READEC"/>
      <sheetName val="Baranda_c_coef "/>
      <sheetName val="Baranda_c_coef_READEC"/>
      <sheetName val="limpieza señales_c_coef"/>
      <sheetName val="limpieza señales_c_coef_READEC"/>
      <sheetName val="Pretiles_c_coef"/>
      <sheetName val="Pretiles_c_coef_READEC"/>
      <sheetName val="Materiales comerciales c_coef"/>
      <sheetName val="Coefientes Generales"/>
      <sheetName val="Coefientes Generales_READEC"/>
      <sheetName val="Hoja2"/>
      <sheetName val="Hoja3"/>
      <sheetName val="Comp_Presup_Feb06"/>
      <sheetName val="Cómputo Recuperacion Redet."/>
      <sheetName val="Cómputo OIO Redet. "/>
      <sheetName val="Presupuesto OIO READEC"/>
      <sheetName val="Presupuesto OR_READEC"/>
      <sheetName val="Coef Recup y OIO"/>
      <sheetName val="Tabla &quot;B&quot;"/>
      <sheetName val="Precio Comb"/>
      <sheetName val="Escarif Banq_READEC"/>
      <sheetName val="ImprimReforzada_READEC"/>
      <sheetName val="Fresado_READEC"/>
      <sheetName val="Fresado_Horm"/>
      <sheetName val="Calzada Hº_READEC"/>
      <sheetName val="Correc Def"/>
      <sheetName val="Sellado fisuras_READEC"/>
      <sheetName val="Riego de liga_READEC"/>
      <sheetName val="carpeta_READEC"/>
      <sheetName val="Banquina_READEC"/>
      <sheetName val="SubBase_READEC"/>
      <sheetName val="Base_READEC"/>
      <sheetName val="demolicion_READEC"/>
      <sheetName val="Alcantarilla_READEC"/>
      <sheetName val="Hormigon cabeceras_READEC"/>
      <sheetName val="Reparacion alcantarilla_READEC"/>
      <sheetName val="Travesia Senillosa_READEC"/>
      <sheetName val="BandasOSonoras_READEC"/>
      <sheetName val="Prolongacion alc_READEC"/>
      <sheetName val="Rest.Drenaje_READEC"/>
      <sheetName val="SeñHoriz_READEC"/>
      <sheetName val="SeñHoriz extrusion_READEC"/>
      <sheetName val="Señalvertical_READEC"/>
      <sheetName val="Baranda_READEC"/>
      <sheetName val="Derivador Picún"/>
      <sheetName val="Mat expl_Base_READEC"/>
      <sheetName val="Mat expl_Banquina_READEC"/>
      <sheetName val="Mat explotados arena READEC"/>
      <sheetName val="Mat expl_ArenaTrit_READEC"/>
      <sheetName val="Mat expl_PiedraTrit_READEC"/>
      <sheetName val="Materiales comerciales_READEC"/>
      <sheetName val="Coefientes Mant"/>
      <sheetName val="Inversiones"/>
      <sheetName val="Hitos 106"/>
      <sheetName val="Porcentajes (2)"/>
      <sheetName val="Detalle Inversiones"/>
      <sheetName val="Detalle Secciones"/>
      <sheetName val="Dist.Porcentual"/>
      <sheetName val="Dist.Porc.p_Sec"/>
      <sheetName val="Planilla Porcentual"/>
      <sheetName val="Planilla Datos Gra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EN 8-95"/>
      <sheetName val="INSUMOS 8-95"/>
      <sheetName val="ORIGEN MZ-98"/>
      <sheetName val="INSUMOS MZ-98"/>
      <sheetName val="ORIGEN 8-00"/>
      <sheetName val="INSUMOS 8-00"/>
      <sheetName val="A REDETERM. CON ORIGEN 95"/>
      <sheetName val="A REDETERM CON ORIGEN `98"/>
      <sheetName val="A REDETERM. CON ORIGEN '00"/>
      <sheetName val="Hoja10"/>
      <sheetName val="ORIGEN MZ_9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_Presup_Carp6 y 8 en sector"/>
      <sheetName val="Comp_Presup_Carp6 y 8_READEC"/>
      <sheetName val="Cómputo Recuperacion Redet."/>
      <sheetName val="Cómputo OIO Redet. "/>
      <sheetName val="Presupuesto OIO"/>
      <sheetName val="Presupuesto OIO READEC"/>
      <sheetName val="Presupuesto OR"/>
      <sheetName val="Presupuesto OR_READEC"/>
      <sheetName val="Variación Insumos"/>
      <sheetName val="Precios"/>
      <sheetName val="Precios_READEC"/>
      <sheetName val="Costo de Equipos"/>
      <sheetName val="Valores Const"/>
      <sheetName val="Valores Const_nueva MdeO"/>
      <sheetName val="Valores Const_READEC"/>
      <sheetName val="Escarif Banquina"/>
      <sheetName val="Escarif Banq_READEC"/>
      <sheetName val="ImprimReforzada"/>
      <sheetName val="ImprimReforzada_READEC"/>
      <sheetName val="Bacheo c_coef"/>
      <sheetName val="Bacheo c_coef_READEC"/>
      <sheetName val="Sellado fisuras_c_coef"/>
      <sheetName val="Sellado fisuras_READEC"/>
      <sheetName val="Riego de liga_c_coef "/>
      <sheetName val="Riego de liga_READEC"/>
      <sheetName val="refuerzo_c_coef"/>
      <sheetName val="refuerzo_READEC"/>
      <sheetName val="Fresado"/>
      <sheetName val="Fresado_READEC"/>
      <sheetName val="Lechada"/>
      <sheetName val="Lechada_READEC"/>
      <sheetName val="Banquina_c_coef"/>
      <sheetName val="Banquina_READEC"/>
      <sheetName val="SubBase_c_coef"/>
      <sheetName val="SubBase_READEC"/>
      <sheetName val="Base_c_coef"/>
      <sheetName val="Base_READEC"/>
      <sheetName val="demolicion_c_coef"/>
      <sheetName val="demolicion_READEC"/>
      <sheetName val="Alcantarilla"/>
      <sheetName val="Alcantarilla_READEC"/>
      <sheetName val="Reparacion alcantarilla_c_coef"/>
      <sheetName val="Reparacion alcantarilla_READEC"/>
      <sheetName val="Travesia Senillosa"/>
      <sheetName val="Travesia Senillosa_READEC"/>
      <sheetName val="BandasOSonoras_c_coef"/>
      <sheetName val="BandasOSonoras_READEC"/>
      <sheetName val="Prolongacion alc"/>
      <sheetName val="Prolongacion alc_READEC"/>
      <sheetName val="Rest.Drenaje_c_coef"/>
      <sheetName val="Rest.Drenaje_READEC"/>
      <sheetName val="SeñHoriz_c_coef"/>
      <sheetName val="SeñHoriz_READEC"/>
      <sheetName val="SeñHoriz extrusion_c_coef"/>
      <sheetName val="SeñHoriz extrusion_READEC"/>
      <sheetName val="Señalvertical_c_coef"/>
      <sheetName val="Señalvertical_READEC"/>
      <sheetName val="Baranda_c_coef"/>
      <sheetName val="Baranda_READEC"/>
      <sheetName val="Mat.Comerciales"/>
      <sheetName val="Mat.Comerciales_READEC"/>
      <sheetName val="Mat explotados Base"/>
      <sheetName val="Mat expl_Base_READEC"/>
      <sheetName val="Mat explotados Banquina"/>
      <sheetName val="Mat expl_Banquina_READEC"/>
      <sheetName val="Mat explotados Arena"/>
      <sheetName val="Mat explotados arena READEC"/>
      <sheetName val="Mat explotados ArenaTrit"/>
      <sheetName val="Mat expl_ArenaTrit_READEC"/>
      <sheetName val="Mat explotados PiedraTrit"/>
      <sheetName val="Mat expl_PiedraTrit_READEC"/>
      <sheetName val="Materiales comerciales c_coef"/>
      <sheetName val="Materiales comerciales_READEC"/>
      <sheetName val="Coefientes Generales"/>
      <sheetName val="Hoja2"/>
      <sheetName val="Hoja3"/>
      <sheetName val="D-12°Neuquén"/>
      <sheetName val="D-12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ores Const_READEC"/>
      <sheetName val="Costo de Equipos"/>
      <sheetName val="Comp_Presup_07"/>
      <sheetName val="Cómputo OR"/>
      <sheetName val="Cómputo OIO"/>
      <sheetName val="Presupuesto OIO "/>
      <sheetName val="Presupuesto OR"/>
      <sheetName val="Coef R y OIO"/>
      <sheetName val="Tabla &quot;B&quot;"/>
      <sheetName val="Mano de Obra"/>
      <sheetName val="Precio Comb"/>
      <sheetName val="Escarif Banq_READEC"/>
      <sheetName val="ImprimReforzada_READEC"/>
      <sheetName val="Fresado_READEC"/>
      <sheetName val="Bacheo c_coef_READEC"/>
      <sheetName val="Correc Def"/>
      <sheetName val="Sellado fisuras_READEC"/>
      <sheetName val="Riego de liga_READEC"/>
      <sheetName val="carpeta_READEC"/>
      <sheetName val="Banquina_READEC"/>
      <sheetName val="SubBase_READEC"/>
      <sheetName val="Base_READEC"/>
      <sheetName val="demolicion_READEC"/>
      <sheetName val="Alcantarilla_READEC"/>
      <sheetName val="Hormigon cabeceras_READEC"/>
      <sheetName val="Reparacion alcantarilla_READEC"/>
      <sheetName val="Travesia Senillosa_READEC"/>
      <sheetName val="BandasOSonoras_READEC"/>
      <sheetName val="Prolongacion alc_READEC"/>
      <sheetName val="Rest.Drenaje_READEC"/>
      <sheetName val="SeñHoriz_READEC"/>
      <sheetName val="SeñHoriz extrusion_READEC"/>
      <sheetName val="Señalvertical_READEC"/>
      <sheetName val="Baranda_READEC"/>
      <sheetName val="Derivador Picún"/>
      <sheetName val="CIPPA"/>
      <sheetName val="Balanzas"/>
      <sheetName val="Mat expl_Base_READEC"/>
      <sheetName val="Mat expl_Banquina_READEC"/>
      <sheetName val="Mat explotados arena READEC"/>
      <sheetName val="Mat expl_ArenaTrit_READEC"/>
      <sheetName val="Mat expl_PiedraTrit_READEC"/>
      <sheetName val="Materiales comerciales_READEC"/>
      <sheetName val="Vivienda"/>
      <sheetName val="Movilidad 4x4_READEC"/>
      <sheetName val="Movilidad sedan_READEC"/>
      <sheetName val="Ayudantes Balanza_READEC"/>
      <sheetName val="corte de pastos_c_coef_READEC"/>
      <sheetName val="Desembanque_c_coef_READEC"/>
      <sheetName val="Pintado_c_coef_READEC"/>
      <sheetName val="Señalvertical_c_coef_READEC"/>
      <sheetName val="perfilado_c_coef_READEC"/>
      <sheetName val="limpieza gral _c_coef_READEC"/>
      <sheetName val="Baranda_c_coef_READEC"/>
      <sheetName val="limpieza señales_c_coef_READEC"/>
      <sheetName val="Cómputo Mant.Rutina"/>
      <sheetName val="Presupuesto MantRutina_READEC"/>
      <sheetName val="Coefientes Mant"/>
      <sheetName val="VC"/>
      <sheetName val="P"/>
      <sheetName val="P_R"/>
      <sheetName val="Variación Insumos"/>
      <sheetName val="Inversiones"/>
      <sheetName val="Hitos 106"/>
      <sheetName val="Porcentajes (2)"/>
      <sheetName val="Detalle Inversiones"/>
      <sheetName val="Detalle Secciones"/>
      <sheetName val="Dist.Porc.p_Sec"/>
      <sheetName val="Planilla Porcentual"/>
      <sheetName val="Planilla Datos Grales"/>
      <sheetName val="PTP_Ruta 22 - S1"/>
      <sheetName val="PTP_Ruta 237 - S1"/>
      <sheetName val="PTP_Ruta 237 - S2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mputo Recuperacion Redet."/>
      <sheetName val="Cómputo OIO Redet. "/>
      <sheetName val="Presupuesto OIO"/>
      <sheetName val="Presupuesto OR"/>
      <sheetName val="Precios"/>
      <sheetName val="Costo de Equipos"/>
      <sheetName val="Valores Const"/>
      <sheetName val="Obra Basica"/>
      <sheetName val="Escarificado_c_coef"/>
      <sheetName val="SubBase_c_coef"/>
      <sheetName val="Base_c_coef"/>
      <sheetName val="Banquina_c_coef"/>
      <sheetName val="Sellado fisuras_c_coef"/>
      <sheetName val="Riego de liga_c_coef "/>
      <sheetName val="Imprimacion_c_coef"/>
      <sheetName val="Carpeta_c_coef"/>
      <sheetName val="Bacheo c_coef"/>
      <sheetName val="Terraplen_c_coef"/>
      <sheetName val="Rest.Drenaje_c_coef"/>
      <sheetName val="Gaviones_c_coef"/>
      <sheetName val="Dren_c_coef"/>
      <sheetName val="Retiro Derrumbes_c_coef"/>
      <sheetName val="Limpieza y traslado_c_coef"/>
      <sheetName val="Retiro y recol Baranda_c_coef"/>
      <sheetName val="Hormigon_rep_de cunetas_c_coef"/>
      <sheetName val="Acond.Contratalud_c_coef"/>
      <sheetName val="Rep.Alcantarillas_c_coef"/>
      <sheetName val="Read_Sist_Drenaje Pr1071_c_coef"/>
      <sheetName val="Saneamiento 1103_c_coef"/>
      <sheetName val="Baranda_c_coef"/>
      <sheetName val="Alteo de muros y guard_c_coef"/>
      <sheetName val="SeñHoriz_c_coef"/>
      <sheetName val="Mat.Comerciales"/>
      <sheetName val="Mat explotados Base"/>
      <sheetName val="Mat explotados Arena"/>
      <sheetName val="Mat explotados ArenaTrit"/>
      <sheetName val="Mat explotados PiedraTrit"/>
      <sheetName val="Materiales comerciales c_coef"/>
      <sheetName val="Coefientes Generales"/>
      <sheetName val="Hoja2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as Mónica"/>
      <sheetName val="ORIGEN 8-95"/>
      <sheetName val="INSUMOS 8-95"/>
      <sheetName val="ORIGEN MZ-98"/>
      <sheetName val="INSUMOS MZ-98"/>
      <sheetName val="ORIGEN 8-00"/>
      <sheetName val="INSUMOS 8-00"/>
      <sheetName val="A REDETERM. CON ORIGEN 95"/>
      <sheetName val="A REDETERM CON ORIGEN `98"/>
      <sheetName val="A REDETERM. CON ORIGEN '00"/>
      <sheetName val="Hoja10"/>
      <sheetName val="ORIGEN MZ_9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mputo Recuperacion Redet."/>
      <sheetName val="Cómputo OIO Redet. "/>
      <sheetName val="Presupuesto OIO"/>
      <sheetName val="Presupuesto OR"/>
      <sheetName val="Precios"/>
      <sheetName val="Costo de Equipos"/>
      <sheetName val="Valores Const"/>
      <sheetName val="Obra Basica"/>
      <sheetName val="Escarificado_c_coef"/>
      <sheetName val="SubBase_c_coef"/>
      <sheetName val="Base_c_coef"/>
      <sheetName val="Banquina_c_coef"/>
      <sheetName val="Sellado fisuras_c_coef"/>
      <sheetName val="Riego de liga_c_coef "/>
      <sheetName val="Imprimacion_c_coef"/>
      <sheetName val="Carpeta_c_coef"/>
      <sheetName val="Bacheo c_coef"/>
      <sheetName val="Terraplen_c_coef"/>
      <sheetName val="Rest.Drenaje_c_coef"/>
      <sheetName val="Gaviones_c_coef"/>
      <sheetName val="Dren_c_coef"/>
      <sheetName val="Retiro Derrumbes_c_coef"/>
      <sheetName val="Limpieza y traslado_c_coef"/>
      <sheetName val="Retiro y recol Baranda_c_coef"/>
      <sheetName val="Hormigon_rep_de cunetas_c_coef"/>
      <sheetName val="Acond.Contratalud_c_coef"/>
      <sheetName val="Rep.Alcantarillas_c_coef"/>
      <sheetName val="Read_Sist_Drenaje Pr1071_c_coef"/>
      <sheetName val="Saneamiento 1103_c_coef"/>
      <sheetName val="Baranda_c_coef"/>
      <sheetName val="Alteo de muros y guard_c_coef"/>
      <sheetName val="SeñHoriz_c_coef"/>
      <sheetName val="Mat.Comerciales"/>
      <sheetName val="Materiales comerciales c_coef"/>
      <sheetName val="Coefientes Generales"/>
      <sheetName val="Hoja2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TRANSP_MATER"/>
      <sheetName val="TRANSP_INTER_NVO"/>
      <sheetName val="MATERIALES"/>
      <sheetName val="ANALISIS_MATERIALES"/>
      <sheetName val="ANALISIS_ITEMS"/>
      <sheetName val="RESUMEN CONS DN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EN 8-95"/>
      <sheetName val="INSUMOS ago_95_DNV "/>
      <sheetName val="INSUMOS 8-95"/>
      <sheetName val="Anal_precios_ORIGEN 03-98"/>
      <sheetName val="Anal_precios_REDET 03-98"/>
      <sheetName val="INSUMOS mar_98_DNV"/>
      <sheetName val="INSUMOS MZ-98"/>
      <sheetName val="Anal_precios_ORIGEN 8-00"/>
      <sheetName val="Anal_precios_REDET 8-00"/>
      <sheetName val="INSUMOS ago_00"/>
      <sheetName val="INSUMOS 8-00"/>
      <sheetName val="Hoja7"/>
      <sheetName val="Hoja8"/>
      <sheetName val="Hoja9"/>
      <sheetName val="Hoja10"/>
      <sheetName val="ORIGEN 8_9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EN 8-95"/>
      <sheetName val="INSUMOS 8-95"/>
      <sheetName val="Anal_precios_ORIGEN 03-98"/>
      <sheetName val="Anal_precios_REDET 03-98"/>
      <sheetName val="INSUMOS mar_98"/>
      <sheetName val="INSUMOS MZ-98"/>
      <sheetName val="Anal_precios_ORIGEN 8-00"/>
      <sheetName val="Anal_precios_REDET 8-00"/>
      <sheetName val="INSUMOS ago_00"/>
      <sheetName val="INSUMOS 8-00"/>
      <sheetName val="Hoja7"/>
      <sheetName val="Hoja8"/>
      <sheetName val="Hoja9"/>
      <sheetName val="Hoja10"/>
      <sheetName val="ORIGEN 8_95"/>
      <sheetName val="Anal_precios_ORIGEN 03_9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me"/>
      <sheetName val="certiforig"/>
      <sheetName val="faltante"/>
      <sheetName val="Material con equipo"/>
      <sheetName val="Mat.explot. y otros"/>
      <sheetName val="Item de Ho."/>
      <sheetName val="Item con equipo solamente"/>
      <sheetName val="Materiales comerciales"/>
      <sheetName val="BANCOINS"/>
      <sheetName val="equip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"/>
      <sheetName val="MdO"/>
      <sheetName val="P"/>
      <sheetName val="Equipo"/>
      <sheetName val="Mat (Bco)"/>
      <sheetName val="Mat (Pres)"/>
      <sheetName val="MdO (Pres)"/>
      <sheetName val="CV asfalto"/>
      <sheetName val="CV hormigón"/>
      <sheetName val="1A"/>
      <sheetName val="1B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 A"/>
      <sheetName val="24 B"/>
      <sheetName val="25"/>
      <sheetName val="26"/>
      <sheetName val="27"/>
      <sheetName val="28"/>
      <sheetName val="29"/>
      <sheetName val="30"/>
      <sheetName val="31"/>
      <sheetName val="32 A"/>
      <sheetName val="32 B"/>
      <sheetName val="33"/>
      <sheetName val="37"/>
      <sheetName val="13 H"/>
      <sheetName val="14 H"/>
      <sheetName val="15 H"/>
      <sheetName val="16 H"/>
      <sheetName val="39 H"/>
      <sheetName val="34.1"/>
      <sheetName val="34.2"/>
      <sheetName val="34.3"/>
      <sheetName val="34.4"/>
      <sheetName val="34.5"/>
      <sheetName val="34.6"/>
      <sheetName val="35.1"/>
      <sheetName val="35.2"/>
      <sheetName val="35.3"/>
      <sheetName val="35.4"/>
      <sheetName val="35.5"/>
      <sheetName val="35.6"/>
      <sheetName val="35.7"/>
      <sheetName val="35.8"/>
      <sheetName val="36.1.1"/>
      <sheetName val="36.1.2"/>
      <sheetName val="36.2.1"/>
      <sheetName val="36.2.2"/>
      <sheetName val="36.2.3"/>
      <sheetName val="36.2.4"/>
      <sheetName val="36.2.5"/>
      <sheetName val="36.2.6"/>
      <sheetName val="36.2.7"/>
      <sheetName val="36.3.1"/>
      <sheetName val="36.3.2"/>
      <sheetName val="36.3.3"/>
      <sheetName val="36.4"/>
      <sheetName val="36.5"/>
      <sheetName val="36.6"/>
      <sheetName val="36.7"/>
      <sheetName val="36.8"/>
      <sheetName val="36.9"/>
      <sheetName val="36.10"/>
      <sheetName val="36.11"/>
      <sheetName val="36.12"/>
      <sheetName val="36.13"/>
      <sheetName val="36.14"/>
      <sheetName val="36.15"/>
    </sheetNames>
    <sheetDataSet>
      <sheetData sheetId="0" refreshError="1"/>
      <sheetData sheetId="1">
        <row r="8">
          <cell r="A8">
            <v>0</v>
          </cell>
          <cell r="B8" t="str">
            <v>. . . . . . . . . . . . . . . . . . . . .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A9">
            <v>1</v>
          </cell>
          <cell r="B9" t="str">
            <v>Oficial Especializado</v>
          </cell>
          <cell r="C9">
            <v>4.7300000000000004</v>
          </cell>
          <cell r="D9">
            <v>1.18</v>
          </cell>
          <cell r="E9">
            <v>0.95</v>
          </cell>
          <cell r="F9">
            <v>0.16</v>
          </cell>
          <cell r="G9">
            <v>0.59</v>
          </cell>
          <cell r="H9">
            <v>7.61</v>
          </cell>
          <cell r="I9">
            <v>3.75</v>
          </cell>
          <cell r="J9">
            <v>2.8</v>
          </cell>
          <cell r="K9">
            <v>14.16</v>
          </cell>
          <cell r="L9">
            <v>113.28</v>
          </cell>
        </row>
        <row r="10">
          <cell r="A10">
            <v>2</v>
          </cell>
          <cell r="B10" t="str">
            <v>Oficial</v>
          </cell>
          <cell r="C10">
            <v>4</v>
          </cell>
          <cell r="D10">
            <v>1</v>
          </cell>
          <cell r="E10">
            <v>0.8</v>
          </cell>
          <cell r="F10">
            <v>0.14000000000000001</v>
          </cell>
          <cell r="G10">
            <v>0.5</v>
          </cell>
          <cell r="H10">
            <v>6.44</v>
          </cell>
          <cell r="I10">
            <v>3.17</v>
          </cell>
          <cell r="J10">
            <v>1.2</v>
          </cell>
          <cell r="K10">
            <v>10.81</v>
          </cell>
          <cell r="L10">
            <v>86.48</v>
          </cell>
        </row>
        <row r="11">
          <cell r="A11">
            <v>3</v>
          </cell>
          <cell r="B11" t="str">
            <v>Medio Oficial</v>
          </cell>
          <cell r="C11">
            <v>3.73</v>
          </cell>
          <cell r="D11">
            <v>0.93</v>
          </cell>
          <cell r="E11">
            <v>0.75</v>
          </cell>
          <cell r="F11">
            <v>0.12</v>
          </cell>
          <cell r="G11">
            <v>0.47</v>
          </cell>
          <cell r="H11">
            <v>6</v>
          </cell>
          <cell r="I11">
            <v>2.96</v>
          </cell>
          <cell r="J11">
            <v>0.8</v>
          </cell>
          <cell r="K11">
            <v>9.76</v>
          </cell>
          <cell r="L11">
            <v>78.08</v>
          </cell>
        </row>
        <row r="12">
          <cell r="A12">
            <v>4</v>
          </cell>
          <cell r="B12" t="str">
            <v>Ayudante</v>
          </cell>
          <cell r="C12">
            <v>3.58</v>
          </cell>
          <cell r="D12">
            <v>0.9</v>
          </cell>
          <cell r="E12">
            <v>0.72</v>
          </cell>
          <cell r="F12">
            <v>0.1</v>
          </cell>
          <cell r="G12">
            <v>0.45</v>
          </cell>
          <cell r="H12">
            <v>5.75</v>
          </cell>
          <cell r="I12">
            <v>2.83</v>
          </cell>
          <cell r="J12">
            <v>1.05</v>
          </cell>
          <cell r="K12">
            <v>9.6300000000000008</v>
          </cell>
          <cell r="L12">
            <v>77.040000000000006</v>
          </cell>
        </row>
      </sheetData>
      <sheetData sheetId="2">
        <row r="1">
          <cell r="B1" t="str">
            <v>Dirección Nacional de Vialidad</v>
          </cell>
        </row>
      </sheetData>
      <sheetData sheetId="3">
        <row r="8">
          <cell r="A8">
            <v>0</v>
          </cell>
          <cell r="C8" t="str">
            <v>. . . . . . . . . . . . . . . . . . . . . . . . . . . . . . . . . . .</v>
          </cell>
          <cell r="D8" t="str">
            <v>. . . . . . . . . . . . . . . . . . . . . . . . . . . . . . . . . . .</v>
          </cell>
          <cell r="E8" t="str">
            <v xml:space="preserve">. . . . . . . . . . . . . . . . . . . . . . . . . . . . . . . . . . .  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A9">
            <v>1</v>
          </cell>
          <cell r="C9" t="str">
            <v>Cargador frontal</v>
          </cell>
          <cell r="D9" t="str">
            <v>Komatsu</v>
          </cell>
          <cell r="E9" t="str">
            <v>WA 180/1B</v>
          </cell>
          <cell r="F9">
            <v>118</v>
          </cell>
          <cell r="G9">
            <v>100000</v>
          </cell>
          <cell r="H9">
            <v>320000</v>
          </cell>
          <cell r="I9">
            <v>32</v>
          </cell>
          <cell r="J9">
            <v>8</v>
          </cell>
          <cell r="K9">
            <v>40</v>
          </cell>
          <cell r="L9">
            <v>32</v>
          </cell>
          <cell r="M9">
            <v>16.52</v>
          </cell>
          <cell r="N9">
            <v>21.64</v>
          </cell>
          <cell r="O9">
            <v>6.49</v>
          </cell>
          <cell r="P9">
            <v>28.13</v>
          </cell>
        </row>
        <row r="10">
          <cell r="A10">
            <v>2</v>
          </cell>
          <cell r="C10" t="str">
            <v>Cargador frontal</v>
          </cell>
          <cell r="D10" t="str">
            <v>CAT</v>
          </cell>
          <cell r="E10" t="str">
            <v>950 E</v>
          </cell>
          <cell r="F10">
            <v>160</v>
          </cell>
          <cell r="G10">
            <v>100000</v>
          </cell>
          <cell r="H10">
            <v>320000</v>
          </cell>
          <cell r="I10">
            <v>32</v>
          </cell>
          <cell r="J10">
            <v>8</v>
          </cell>
          <cell r="K10">
            <v>40</v>
          </cell>
          <cell r="L10">
            <v>32</v>
          </cell>
          <cell r="M10">
            <v>22.4</v>
          </cell>
          <cell r="N10">
            <v>29.34</v>
          </cell>
          <cell r="O10">
            <v>8.8000000000000007</v>
          </cell>
          <cell r="P10">
            <v>38.14</v>
          </cell>
        </row>
        <row r="11">
          <cell r="A11">
            <v>3</v>
          </cell>
          <cell r="C11" t="str">
            <v>Cargador frontal</v>
          </cell>
          <cell r="D11" t="str">
            <v>CAT</v>
          </cell>
          <cell r="E11" t="str">
            <v>938 G</v>
          </cell>
          <cell r="F11">
            <v>160</v>
          </cell>
          <cell r="G11">
            <v>154100</v>
          </cell>
          <cell r="H11">
            <v>493120</v>
          </cell>
          <cell r="I11">
            <v>49.31</v>
          </cell>
          <cell r="J11">
            <v>12.33</v>
          </cell>
          <cell r="K11">
            <v>61.64</v>
          </cell>
          <cell r="L11">
            <v>49.31</v>
          </cell>
          <cell r="M11">
            <v>22.4</v>
          </cell>
          <cell r="N11">
            <v>29.34</v>
          </cell>
          <cell r="O11">
            <v>8.8000000000000007</v>
          </cell>
          <cell r="P11">
            <v>38.14</v>
          </cell>
        </row>
        <row r="12">
          <cell r="A12">
            <v>4</v>
          </cell>
          <cell r="C12" t="str">
            <v>Cargador frontal</v>
          </cell>
          <cell r="D12" t="str">
            <v>Komatsu</v>
          </cell>
          <cell r="E12" t="str">
            <v>WA 380-5</v>
          </cell>
          <cell r="F12">
            <v>140</v>
          </cell>
          <cell r="G12">
            <v>175380</v>
          </cell>
          <cell r="H12">
            <v>561216</v>
          </cell>
          <cell r="I12">
            <v>56.12</v>
          </cell>
          <cell r="J12">
            <v>14.03</v>
          </cell>
          <cell r="K12">
            <v>70.150000000000006</v>
          </cell>
          <cell r="L12">
            <v>56.12</v>
          </cell>
          <cell r="M12">
            <v>19.600000000000001</v>
          </cell>
          <cell r="N12">
            <v>25.68</v>
          </cell>
          <cell r="O12">
            <v>7.7</v>
          </cell>
          <cell r="P12">
            <v>33.380000000000003</v>
          </cell>
        </row>
        <row r="13">
          <cell r="A13">
            <v>5</v>
          </cell>
          <cell r="C13" t="str">
            <v>Cargador frontal</v>
          </cell>
          <cell r="D13" t="str">
            <v>CAT</v>
          </cell>
          <cell r="E13" t="str">
            <v>950 G</v>
          </cell>
          <cell r="F13">
            <v>180</v>
          </cell>
          <cell r="G13">
            <v>193800</v>
          </cell>
          <cell r="H13">
            <v>620160</v>
          </cell>
          <cell r="I13">
            <v>62.02</v>
          </cell>
          <cell r="J13">
            <v>15.5</v>
          </cell>
          <cell r="K13">
            <v>77.52</v>
          </cell>
          <cell r="L13">
            <v>62.02</v>
          </cell>
          <cell r="M13">
            <v>25.2</v>
          </cell>
          <cell r="N13">
            <v>33.01</v>
          </cell>
          <cell r="O13">
            <v>9.9</v>
          </cell>
          <cell r="P13">
            <v>42.91</v>
          </cell>
        </row>
        <row r="14">
          <cell r="A14">
            <v>6</v>
          </cell>
          <cell r="C14" t="str">
            <v>Cargador frontal</v>
          </cell>
          <cell r="D14" t="str">
            <v>CAT</v>
          </cell>
          <cell r="E14" t="str">
            <v>980 C</v>
          </cell>
          <cell r="F14">
            <v>270</v>
          </cell>
          <cell r="G14">
            <v>310000</v>
          </cell>
          <cell r="H14">
            <v>992000</v>
          </cell>
          <cell r="I14">
            <v>99.2</v>
          </cell>
          <cell r="J14">
            <v>24.8</v>
          </cell>
          <cell r="K14">
            <v>124</v>
          </cell>
          <cell r="L14">
            <v>99.2</v>
          </cell>
          <cell r="M14">
            <v>37.799999999999997</v>
          </cell>
          <cell r="N14">
            <v>49.52</v>
          </cell>
          <cell r="O14">
            <v>14.86</v>
          </cell>
          <cell r="P14">
            <v>64.38</v>
          </cell>
        </row>
        <row r="15">
          <cell r="A15">
            <v>7</v>
          </cell>
          <cell r="C15" t="str">
            <v>Mini cargadora</v>
          </cell>
          <cell r="D15" t="str">
            <v>BOBCAT</v>
          </cell>
          <cell r="F15">
            <v>40</v>
          </cell>
          <cell r="G15">
            <v>25000</v>
          </cell>
          <cell r="H15">
            <v>80000</v>
          </cell>
          <cell r="I15">
            <v>8</v>
          </cell>
          <cell r="J15">
            <v>2</v>
          </cell>
          <cell r="K15">
            <v>10</v>
          </cell>
          <cell r="L15">
            <v>8</v>
          </cell>
          <cell r="M15">
            <v>5.6</v>
          </cell>
          <cell r="N15">
            <v>7.34</v>
          </cell>
          <cell r="O15">
            <v>2.2000000000000002</v>
          </cell>
          <cell r="P15">
            <v>9.5399999999999991</v>
          </cell>
        </row>
        <row r="16">
          <cell r="A16">
            <v>8</v>
          </cell>
          <cell r="C16" t="str">
            <v>Topadora</v>
          </cell>
          <cell r="D16" t="str">
            <v>Komatsu</v>
          </cell>
          <cell r="E16" t="str">
            <v>D65E/8G</v>
          </cell>
          <cell r="F16">
            <v>165</v>
          </cell>
          <cell r="G16">
            <v>144000</v>
          </cell>
          <cell r="H16">
            <v>460800</v>
          </cell>
          <cell r="I16">
            <v>46.08</v>
          </cell>
          <cell r="J16">
            <v>11.52</v>
          </cell>
          <cell r="K16">
            <v>57.6</v>
          </cell>
          <cell r="L16">
            <v>46.08</v>
          </cell>
          <cell r="M16">
            <v>23.1</v>
          </cell>
          <cell r="N16">
            <v>30.26</v>
          </cell>
          <cell r="O16">
            <v>9.08</v>
          </cell>
          <cell r="P16">
            <v>39.340000000000003</v>
          </cell>
        </row>
        <row r="17">
          <cell r="A17">
            <v>9</v>
          </cell>
          <cell r="C17" t="str">
            <v>Topadora</v>
          </cell>
          <cell r="D17" t="str">
            <v>CAT</v>
          </cell>
          <cell r="E17" t="str">
            <v>D8 L</v>
          </cell>
          <cell r="F17">
            <v>335</v>
          </cell>
          <cell r="G17">
            <v>448800</v>
          </cell>
          <cell r="H17">
            <v>1436160</v>
          </cell>
          <cell r="I17">
            <v>143.62</v>
          </cell>
          <cell r="J17">
            <v>35.9</v>
          </cell>
          <cell r="K17">
            <v>179.52</v>
          </cell>
          <cell r="L17">
            <v>143.62</v>
          </cell>
          <cell r="M17">
            <v>46.9</v>
          </cell>
          <cell r="N17">
            <v>61.44</v>
          </cell>
          <cell r="O17">
            <v>18.43</v>
          </cell>
          <cell r="P17">
            <v>79.87</v>
          </cell>
        </row>
        <row r="18">
          <cell r="A18">
            <v>10</v>
          </cell>
          <cell r="C18" t="str">
            <v>Topadora</v>
          </cell>
          <cell r="D18" t="str">
            <v>CAT</v>
          </cell>
          <cell r="E18" t="str">
            <v>D7</v>
          </cell>
          <cell r="F18">
            <v>230</v>
          </cell>
          <cell r="G18">
            <v>400000</v>
          </cell>
          <cell r="H18">
            <v>1280000</v>
          </cell>
          <cell r="I18">
            <v>128</v>
          </cell>
          <cell r="J18">
            <v>32</v>
          </cell>
          <cell r="K18">
            <v>160</v>
          </cell>
          <cell r="L18">
            <v>128</v>
          </cell>
          <cell r="M18">
            <v>32.200000000000003</v>
          </cell>
          <cell r="N18">
            <v>42.18</v>
          </cell>
          <cell r="O18">
            <v>12.65</v>
          </cell>
          <cell r="P18">
            <v>54.83</v>
          </cell>
        </row>
        <row r="19">
          <cell r="A19">
            <v>11</v>
          </cell>
          <cell r="C19" t="str">
            <v>Retroexcavadora</v>
          </cell>
          <cell r="D19" t="str">
            <v>CAT</v>
          </cell>
          <cell r="E19" t="str">
            <v>315L</v>
          </cell>
          <cell r="F19">
            <v>99</v>
          </cell>
          <cell r="G19">
            <v>138000</v>
          </cell>
          <cell r="H19">
            <v>441600</v>
          </cell>
          <cell r="I19">
            <v>44.16</v>
          </cell>
          <cell r="J19">
            <v>11.04</v>
          </cell>
          <cell r="K19">
            <v>55.2</v>
          </cell>
          <cell r="L19">
            <v>44.16</v>
          </cell>
          <cell r="M19">
            <v>13.86</v>
          </cell>
          <cell r="N19">
            <v>18.16</v>
          </cell>
          <cell r="O19">
            <v>5.45</v>
          </cell>
          <cell r="P19">
            <v>23.61</v>
          </cell>
        </row>
        <row r="20">
          <cell r="A20">
            <v>12</v>
          </cell>
          <cell r="C20" t="str">
            <v>Retroexcavadora</v>
          </cell>
          <cell r="D20" t="str">
            <v>CAT</v>
          </cell>
          <cell r="E20" t="str">
            <v>320B</v>
          </cell>
          <cell r="F20">
            <v>128</v>
          </cell>
          <cell r="G20">
            <v>152000</v>
          </cell>
          <cell r="H20">
            <v>486400</v>
          </cell>
          <cell r="I20">
            <v>48.64</v>
          </cell>
          <cell r="J20">
            <v>12.16</v>
          </cell>
          <cell r="K20">
            <v>60.8</v>
          </cell>
          <cell r="L20">
            <v>48.64</v>
          </cell>
          <cell r="M20">
            <v>17.920000000000002</v>
          </cell>
          <cell r="N20">
            <v>23.48</v>
          </cell>
          <cell r="O20">
            <v>7.04</v>
          </cell>
          <cell r="P20">
            <v>30.52</v>
          </cell>
        </row>
        <row r="21">
          <cell r="A21">
            <v>13</v>
          </cell>
          <cell r="C21" t="str">
            <v>Retroexcavadora</v>
          </cell>
          <cell r="D21" t="str">
            <v>CAT</v>
          </cell>
          <cell r="E21" t="str">
            <v>320 CL</v>
          </cell>
          <cell r="F21">
            <v>138</v>
          </cell>
          <cell r="G21">
            <v>164000</v>
          </cell>
          <cell r="H21">
            <v>524800</v>
          </cell>
          <cell r="I21">
            <v>52.48</v>
          </cell>
          <cell r="J21">
            <v>13.12</v>
          </cell>
          <cell r="K21">
            <v>65.599999999999994</v>
          </cell>
          <cell r="L21">
            <v>52.48</v>
          </cell>
          <cell r="M21">
            <v>19.32</v>
          </cell>
          <cell r="N21">
            <v>25.31</v>
          </cell>
          <cell r="O21">
            <v>7.59</v>
          </cell>
          <cell r="P21">
            <v>32.9</v>
          </cell>
        </row>
        <row r="22">
          <cell r="A22">
            <v>14</v>
          </cell>
          <cell r="C22" t="str">
            <v>Retroexcavadora</v>
          </cell>
          <cell r="D22" t="str">
            <v>Komatsu</v>
          </cell>
          <cell r="E22" t="str">
            <v>PC 220-7</v>
          </cell>
          <cell r="F22">
            <v>168</v>
          </cell>
          <cell r="G22">
            <v>155400</v>
          </cell>
          <cell r="H22">
            <v>497280</v>
          </cell>
          <cell r="I22">
            <v>49.73</v>
          </cell>
          <cell r="J22">
            <v>12.43</v>
          </cell>
          <cell r="K22">
            <v>62.16</v>
          </cell>
          <cell r="L22">
            <v>49.73</v>
          </cell>
          <cell r="M22">
            <v>23.52</v>
          </cell>
          <cell r="N22">
            <v>30.81</v>
          </cell>
          <cell r="O22">
            <v>9.24</v>
          </cell>
          <cell r="P22">
            <v>40.049999999999997</v>
          </cell>
        </row>
        <row r="23">
          <cell r="A23">
            <v>15</v>
          </cell>
          <cell r="C23" t="str">
            <v>Retroexcavadora</v>
          </cell>
          <cell r="D23" t="str">
            <v>CAT</v>
          </cell>
          <cell r="E23" t="str">
            <v>330 B L</v>
          </cell>
          <cell r="F23">
            <v>228</v>
          </cell>
          <cell r="G23">
            <v>278000</v>
          </cell>
          <cell r="H23">
            <v>889600</v>
          </cell>
          <cell r="I23">
            <v>88.96</v>
          </cell>
          <cell r="J23">
            <v>22.24</v>
          </cell>
          <cell r="K23">
            <v>111.2</v>
          </cell>
          <cell r="L23">
            <v>88.96</v>
          </cell>
          <cell r="M23">
            <v>31.92</v>
          </cell>
          <cell r="N23">
            <v>41.82</v>
          </cell>
          <cell r="O23">
            <v>12.55</v>
          </cell>
          <cell r="P23">
            <v>54.37</v>
          </cell>
        </row>
        <row r="24">
          <cell r="A24">
            <v>16</v>
          </cell>
          <cell r="C24" t="str">
            <v>Retroexcavadora</v>
          </cell>
          <cell r="D24" t="str">
            <v>CAT</v>
          </cell>
          <cell r="E24" t="str">
            <v>235B</v>
          </cell>
          <cell r="F24">
            <v>215</v>
          </cell>
          <cell r="G24">
            <v>240000</v>
          </cell>
          <cell r="H24">
            <v>768000</v>
          </cell>
          <cell r="I24">
            <v>76.8</v>
          </cell>
          <cell r="J24">
            <v>19.2</v>
          </cell>
          <cell r="K24">
            <v>96</v>
          </cell>
          <cell r="L24">
            <v>76.8</v>
          </cell>
          <cell r="M24">
            <v>30.1</v>
          </cell>
          <cell r="N24">
            <v>39.43</v>
          </cell>
          <cell r="O24">
            <v>11.83</v>
          </cell>
          <cell r="P24">
            <v>51.26</v>
          </cell>
        </row>
        <row r="25">
          <cell r="A25">
            <v>17</v>
          </cell>
          <cell r="C25" t="str">
            <v>Cargador frontal c/ retro</v>
          </cell>
          <cell r="D25" t="str">
            <v>Massey Ferguson</v>
          </cell>
          <cell r="E25" t="str">
            <v>M28/26</v>
          </cell>
          <cell r="F25">
            <v>84</v>
          </cell>
          <cell r="G25">
            <v>83000</v>
          </cell>
          <cell r="H25">
            <v>265600</v>
          </cell>
          <cell r="I25">
            <v>26.56</v>
          </cell>
          <cell r="J25">
            <v>6.64</v>
          </cell>
          <cell r="K25">
            <v>33.200000000000003</v>
          </cell>
          <cell r="L25">
            <v>26.56</v>
          </cell>
          <cell r="M25">
            <v>11.76</v>
          </cell>
          <cell r="N25">
            <v>15.41</v>
          </cell>
          <cell r="O25">
            <v>4.62</v>
          </cell>
          <cell r="P25">
            <v>20.03</v>
          </cell>
        </row>
        <row r="26">
          <cell r="A26">
            <v>18</v>
          </cell>
          <cell r="C26" t="str">
            <v>Motoniveladora</v>
          </cell>
          <cell r="D26" t="str">
            <v>CAT</v>
          </cell>
          <cell r="E26" t="str">
            <v>14G</v>
          </cell>
          <cell r="F26">
            <v>200</v>
          </cell>
          <cell r="G26">
            <v>389000</v>
          </cell>
          <cell r="H26">
            <v>1244800</v>
          </cell>
          <cell r="I26">
            <v>124.48</v>
          </cell>
          <cell r="J26">
            <v>31.12</v>
          </cell>
          <cell r="K26">
            <v>155.6</v>
          </cell>
          <cell r="L26">
            <v>124.48</v>
          </cell>
          <cell r="M26">
            <v>28</v>
          </cell>
          <cell r="N26">
            <v>36.68</v>
          </cell>
          <cell r="O26">
            <v>11</v>
          </cell>
          <cell r="P26">
            <v>47.68</v>
          </cell>
        </row>
        <row r="27">
          <cell r="A27">
            <v>19</v>
          </cell>
          <cell r="C27" t="str">
            <v>Motoniveladora</v>
          </cell>
          <cell r="D27" t="str">
            <v>CAT</v>
          </cell>
          <cell r="E27" t="str">
            <v>14 H</v>
          </cell>
          <cell r="F27">
            <v>215</v>
          </cell>
          <cell r="G27">
            <v>386000</v>
          </cell>
          <cell r="H27">
            <v>1235200</v>
          </cell>
          <cell r="I27">
            <v>123.52</v>
          </cell>
          <cell r="J27">
            <v>30.88</v>
          </cell>
          <cell r="K27">
            <v>154.4</v>
          </cell>
          <cell r="L27">
            <v>123.52</v>
          </cell>
          <cell r="M27">
            <v>30.1</v>
          </cell>
          <cell r="N27">
            <v>39.43</v>
          </cell>
          <cell r="O27">
            <v>11.83</v>
          </cell>
          <cell r="P27">
            <v>51.26</v>
          </cell>
        </row>
        <row r="28">
          <cell r="A28">
            <v>20</v>
          </cell>
          <cell r="C28" t="str">
            <v>Motoniveladora</v>
          </cell>
          <cell r="D28" t="str">
            <v>CAT</v>
          </cell>
          <cell r="E28" t="str">
            <v>140 H</v>
          </cell>
          <cell r="F28">
            <v>150</v>
          </cell>
          <cell r="G28">
            <v>178400</v>
          </cell>
          <cell r="H28">
            <v>570880</v>
          </cell>
          <cell r="I28">
            <v>57.09</v>
          </cell>
          <cell r="J28">
            <v>14.27</v>
          </cell>
          <cell r="K28">
            <v>71.36</v>
          </cell>
          <cell r="L28">
            <v>57.09</v>
          </cell>
          <cell r="M28">
            <v>21</v>
          </cell>
          <cell r="N28">
            <v>27.51</v>
          </cell>
          <cell r="O28">
            <v>8.25</v>
          </cell>
          <cell r="P28">
            <v>35.76</v>
          </cell>
        </row>
        <row r="29">
          <cell r="A29">
            <v>21</v>
          </cell>
          <cell r="C29" t="str">
            <v>Motoniveladora</v>
          </cell>
          <cell r="D29" t="str">
            <v>Komatsu</v>
          </cell>
          <cell r="E29" t="str">
            <v>GD 705</v>
          </cell>
          <cell r="F29">
            <v>200</v>
          </cell>
          <cell r="G29">
            <v>162500</v>
          </cell>
          <cell r="H29">
            <v>520000</v>
          </cell>
          <cell r="I29">
            <v>52</v>
          </cell>
          <cell r="J29">
            <v>13</v>
          </cell>
          <cell r="K29">
            <v>65</v>
          </cell>
          <cell r="L29">
            <v>52</v>
          </cell>
          <cell r="M29">
            <v>28</v>
          </cell>
          <cell r="N29">
            <v>36.68</v>
          </cell>
          <cell r="O29">
            <v>11</v>
          </cell>
          <cell r="P29">
            <v>47.68</v>
          </cell>
        </row>
        <row r="30">
          <cell r="A30">
            <v>22</v>
          </cell>
          <cell r="C30" t="str">
            <v>Rodillo simple liso</v>
          </cell>
          <cell r="D30" t="str">
            <v>Dynapac</v>
          </cell>
          <cell r="E30" t="str">
            <v>CA 35</v>
          </cell>
          <cell r="F30">
            <v>145</v>
          </cell>
          <cell r="G30">
            <v>107000</v>
          </cell>
          <cell r="H30">
            <v>342400</v>
          </cell>
          <cell r="I30">
            <v>34.24</v>
          </cell>
          <cell r="J30">
            <v>8.56</v>
          </cell>
          <cell r="K30">
            <v>42.8</v>
          </cell>
          <cell r="L30">
            <v>34.24</v>
          </cell>
          <cell r="M30">
            <v>20.3</v>
          </cell>
          <cell r="N30">
            <v>26.59</v>
          </cell>
          <cell r="O30">
            <v>7.98</v>
          </cell>
          <cell r="P30">
            <v>34.57</v>
          </cell>
        </row>
        <row r="31">
          <cell r="A31">
            <v>23</v>
          </cell>
          <cell r="C31" t="str">
            <v>Rodillo simple c/ pisones</v>
          </cell>
          <cell r="D31" t="str">
            <v>Dynapac</v>
          </cell>
          <cell r="E31" t="str">
            <v>CA 25 PD</v>
          </cell>
          <cell r="F31">
            <v>150</v>
          </cell>
          <cell r="G31">
            <v>91700</v>
          </cell>
          <cell r="H31">
            <v>293440</v>
          </cell>
          <cell r="I31">
            <v>29.34</v>
          </cell>
          <cell r="J31">
            <v>7.34</v>
          </cell>
          <cell r="K31">
            <v>36.68</v>
          </cell>
          <cell r="L31">
            <v>29.34</v>
          </cell>
          <cell r="M31">
            <v>21</v>
          </cell>
          <cell r="N31">
            <v>27.51</v>
          </cell>
          <cell r="O31">
            <v>8.25</v>
          </cell>
          <cell r="P31">
            <v>35.76</v>
          </cell>
        </row>
        <row r="32">
          <cell r="A32">
            <v>24</v>
          </cell>
          <cell r="C32" t="str">
            <v>Rodillo simple c/ pisones</v>
          </cell>
          <cell r="D32" t="str">
            <v>CAT</v>
          </cell>
          <cell r="E32" t="str">
            <v>CP 533 D</v>
          </cell>
          <cell r="F32">
            <v>145</v>
          </cell>
          <cell r="G32">
            <v>92870</v>
          </cell>
          <cell r="H32">
            <v>297184</v>
          </cell>
          <cell r="I32">
            <v>29.72</v>
          </cell>
          <cell r="J32">
            <v>7.43</v>
          </cell>
          <cell r="K32">
            <v>37.15</v>
          </cell>
          <cell r="L32">
            <v>29.72</v>
          </cell>
          <cell r="M32">
            <v>20.3</v>
          </cell>
          <cell r="N32">
            <v>26.59</v>
          </cell>
          <cell r="O32">
            <v>7.98</v>
          </cell>
          <cell r="P32">
            <v>34.57</v>
          </cell>
        </row>
        <row r="33">
          <cell r="A33">
            <v>25</v>
          </cell>
          <cell r="C33" t="str">
            <v>Rod. Comp. Vibr. Aut.</v>
          </cell>
          <cell r="D33" t="str">
            <v>Dynapac</v>
          </cell>
          <cell r="E33" t="str">
            <v>CG 11</v>
          </cell>
          <cell r="F33">
            <v>60</v>
          </cell>
          <cell r="G33">
            <v>30000</v>
          </cell>
          <cell r="H33">
            <v>96000</v>
          </cell>
          <cell r="I33">
            <v>9.6</v>
          </cell>
          <cell r="J33">
            <v>2.4</v>
          </cell>
          <cell r="K33">
            <v>12</v>
          </cell>
          <cell r="L33">
            <v>9.6</v>
          </cell>
          <cell r="M33">
            <v>8.4</v>
          </cell>
          <cell r="N33">
            <v>11</v>
          </cell>
          <cell r="O33">
            <v>3.3</v>
          </cell>
          <cell r="P33">
            <v>14.3</v>
          </cell>
        </row>
        <row r="34">
          <cell r="A34">
            <v>26</v>
          </cell>
          <cell r="C34" t="str">
            <v>Rodillo doble liso</v>
          </cell>
          <cell r="D34" t="str">
            <v>Dynapac</v>
          </cell>
          <cell r="E34" t="str">
            <v>CC 43</v>
          </cell>
          <cell r="F34">
            <v>125</v>
          </cell>
          <cell r="G34">
            <v>80000</v>
          </cell>
          <cell r="H34">
            <v>256000</v>
          </cell>
          <cell r="I34">
            <v>25.6</v>
          </cell>
          <cell r="J34">
            <v>6.4</v>
          </cell>
          <cell r="K34">
            <v>32</v>
          </cell>
          <cell r="L34">
            <v>25.6</v>
          </cell>
          <cell r="M34">
            <v>17.5</v>
          </cell>
          <cell r="N34">
            <v>22.93</v>
          </cell>
          <cell r="O34">
            <v>6.88</v>
          </cell>
          <cell r="P34">
            <v>29.81</v>
          </cell>
        </row>
        <row r="35">
          <cell r="A35">
            <v>27</v>
          </cell>
          <cell r="C35" t="str">
            <v>Rodillo doble liso</v>
          </cell>
          <cell r="D35" t="str">
            <v>Dynapac</v>
          </cell>
          <cell r="E35" t="str">
            <v>CC 222</v>
          </cell>
          <cell r="F35">
            <v>72</v>
          </cell>
          <cell r="G35">
            <v>82145</v>
          </cell>
          <cell r="H35">
            <v>262864</v>
          </cell>
          <cell r="I35">
            <v>26.29</v>
          </cell>
          <cell r="J35">
            <v>6.57</v>
          </cell>
          <cell r="K35">
            <v>32.86</v>
          </cell>
          <cell r="L35">
            <v>26.29</v>
          </cell>
          <cell r="M35">
            <v>10.08</v>
          </cell>
          <cell r="N35">
            <v>13.2</v>
          </cell>
          <cell r="O35">
            <v>3.96</v>
          </cell>
          <cell r="P35">
            <v>17.16</v>
          </cell>
        </row>
        <row r="36">
          <cell r="A36">
            <v>28</v>
          </cell>
          <cell r="C36" t="str">
            <v>Rodillo doble liso</v>
          </cell>
          <cell r="D36" t="str">
            <v>Dynapac</v>
          </cell>
          <cell r="E36" t="str">
            <v>CC 422</v>
          </cell>
          <cell r="F36">
            <v>117</v>
          </cell>
          <cell r="G36">
            <v>95682</v>
          </cell>
          <cell r="H36">
            <v>306182.40000000002</v>
          </cell>
          <cell r="I36">
            <v>30.62</v>
          </cell>
          <cell r="J36">
            <v>7.65</v>
          </cell>
          <cell r="K36">
            <v>38.270000000000003</v>
          </cell>
          <cell r="L36">
            <v>30.62</v>
          </cell>
          <cell r="M36">
            <v>16.38</v>
          </cell>
          <cell r="N36">
            <v>21.46</v>
          </cell>
          <cell r="O36">
            <v>6.44</v>
          </cell>
          <cell r="P36">
            <v>27.9</v>
          </cell>
        </row>
        <row r="37">
          <cell r="A37">
            <v>29</v>
          </cell>
          <cell r="C37" t="str">
            <v>Rodillo doble liso</v>
          </cell>
          <cell r="D37" t="str">
            <v>CAT</v>
          </cell>
          <cell r="E37" t="str">
            <v>CB 534 C</v>
          </cell>
          <cell r="F37">
            <v>105</v>
          </cell>
          <cell r="G37">
            <v>117500</v>
          </cell>
          <cell r="H37">
            <v>376000</v>
          </cell>
          <cell r="I37">
            <v>37.6</v>
          </cell>
          <cell r="J37">
            <v>9.4</v>
          </cell>
          <cell r="K37">
            <v>47</v>
          </cell>
          <cell r="L37">
            <v>37.6</v>
          </cell>
          <cell r="M37">
            <v>14.7</v>
          </cell>
          <cell r="N37">
            <v>19.260000000000002</v>
          </cell>
          <cell r="O37">
            <v>5.78</v>
          </cell>
          <cell r="P37">
            <v>25.04</v>
          </cell>
        </row>
        <row r="38">
          <cell r="A38">
            <v>30</v>
          </cell>
          <cell r="C38" t="str">
            <v>Rodillo doble liso</v>
          </cell>
          <cell r="D38" t="str">
            <v>Dynapac</v>
          </cell>
          <cell r="E38" t="str">
            <v>CC 21</v>
          </cell>
          <cell r="F38">
            <v>60</v>
          </cell>
          <cell r="G38">
            <v>60000</v>
          </cell>
          <cell r="H38">
            <v>192000</v>
          </cell>
          <cell r="I38">
            <v>19.2</v>
          </cell>
          <cell r="J38">
            <v>4.8</v>
          </cell>
          <cell r="K38">
            <v>24</v>
          </cell>
          <cell r="L38">
            <v>19.2</v>
          </cell>
          <cell r="M38">
            <v>8.4</v>
          </cell>
          <cell r="N38">
            <v>11</v>
          </cell>
          <cell r="O38">
            <v>3.3</v>
          </cell>
          <cell r="P38">
            <v>14.3</v>
          </cell>
        </row>
        <row r="39">
          <cell r="A39">
            <v>31</v>
          </cell>
          <cell r="C39" t="str">
            <v>Rodillo compactador</v>
          </cell>
          <cell r="D39" t="str">
            <v>CAT</v>
          </cell>
          <cell r="E39" t="str">
            <v>825 C</v>
          </cell>
          <cell r="F39">
            <v>310</v>
          </cell>
          <cell r="G39">
            <v>300000</v>
          </cell>
          <cell r="H39">
            <v>960000</v>
          </cell>
          <cell r="I39">
            <v>96</v>
          </cell>
          <cell r="J39">
            <v>24</v>
          </cell>
          <cell r="K39">
            <v>120</v>
          </cell>
          <cell r="L39">
            <v>96</v>
          </cell>
          <cell r="M39">
            <v>43.4</v>
          </cell>
          <cell r="N39">
            <v>56.85</v>
          </cell>
          <cell r="O39">
            <v>17.059999999999999</v>
          </cell>
          <cell r="P39">
            <v>73.91</v>
          </cell>
        </row>
        <row r="40">
          <cell r="A40">
            <v>32</v>
          </cell>
          <cell r="C40" t="str">
            <v>Compactador manual</v>
          </cell>
          <cell r="D40" t="str">
            <v>Wacker</v>
          </cell>
          <cell r="E40" t="str">
            <v>BS - 600</v>
          </cell>
          <cell r="F40">
            <v>4</v>
          </cell>
          <cell r="G40">
            <v>3350</v>
          </cell>
          <cell r="H40">
            <v>10720</v>
          </cell>
          <cell r="I40">
            <v>1.07</v>
          </cell>
          <cell r="J40">
            <v>0.27</v>
          </cell>
          <cell r="K40">
            <v>1.34</v>
          </cell>
          <cell r="L40">
            <v>1.07</v>
          </cell>
          <cell r="M40">
            <v>0.56000000000000005</v>
          </cell>
          <cell r="N40">
            <v>0.73</v>
          </cell>
          <cell r="O40">
            <v>0.22</v>
          </cell>
          <cell r="P40">
            <v>0.95</v>
          </cell>
        </row>
        <row r="41">
          <cell r="A41">
            <v>33</v>
          </cell>
          <cell r="C41" t="str">
            <v>Rodillo doble liso</v>
          </cell>
          <cell r="D41" t="str">
            <v>Bomag</v>
          </cell>
          <cell r="E41" t="str">
            <v>BW 90 AD</v>
          </cell>
          <cell r="F41">
            <v>14</v>
          </cell>
          <cell r="G41">
            <v>6700</v>
          </cell>
          <cell r="H41">
            <v>21440</v>
          </cell>
          <cell r="I41">
            <v>2.14</v>
          </cell>
          <cell r="J41">
            <v>0.54</v>
          </cell>
          <cell r="K41">
            <v>2.68</v>
          </cell>
          <cell r="L41">
            <v>2.14</v>
          </cell>
          <cell r="M41">
            <v>1.96</v>
          </cell>
          <cell r="N41">
            <v>2.57</v>
          </cell>
          <cell r="O41">
            <v>0.77</v>
          </cell>
          <cell r="P41">
            <v>3.34</v>
          </cell>
        </row>
        <row r="42">
          <cell r="A42">
            <v>34</v>
          </cell>
          <cell r="C42" t="str">
            <v>Rodillo neumático</v>
          </cell>
          <cell r="D42" t="str">
            <v>Tampo</v>
          </cell>
          <cell r="E42" t="str">
            <v>SP 1070</v>
          </cell>
          <cell r="F42">
            <v>165</v>
          </cell>
          <cell r="G42">
            <v>80000</v>
          </cell>
          <cell r="H42">
            <v>256000</v>
          </cell>
          <cell r="I42">
            <v>25.6</v>
          </cell>
          <cell r="J42">
            <v>6.4</v>
          </cell>
          <cell r="K42">
            <v>32</v>
          </cell>
          <cell r="L42">
            <v>25.6</v>
          </cell>
          <cell r="M42">
            <v>23.1</v>
          </cell>
          <cell r="N42">
            <v>30.26</v>
          </cell>
          <cell r="O42">
            <v>9.08</v>
          </cell>
          <cell r="P42">
            <v>39.340000000000003</v>
          </cell>
        </row>
        <row r="43">
          <cell r="A43">
            <v>35</v>
          </cell>
          <cell r="C43" t="str">
            <v>Rodillo neumático</v>
          </cell>
          <cell r="D43" t="str">
            <v>Tortone</v>
          </cell>
          <cell r="E43" t="str">
            <v>RNA 230</v>
          </cell>
          <cell r="F43">
            <v>130</v>
          </cell>
          <cell r="G43">
            <v>60000</v>
          </cell>
          <cell r="H43">
            <v>192000</v>
          </cell>
          <cell r="I43">
            <v>19.2</v>
          </cell>
          <cell r="J43">
            <v>4.8</v>
          </cell>
          <cell r="K43">
            <v>24</v>
          </cell>
          <cell r="L43">
            <v>19.2</v>
          </cell>
          <cell r="M43">
            <v>18.2</v>
          </cell>
          <cell r="N43">
            <v>23.84</v>
          </cell>
          <cell r="O43">
            <v>7.15</v>
          </cell>
          <cell r="P43">
            <v>30.99</v>
          </cell>
        </row>
        <row r="44">
          <cell r="A44">
            <v>36</v>
          </cell>
          <cell r="C44" t="str">
            <v>Rodillo neumático</v>
          </cell>
          <cell r="D44" t="str">
            <v>CAT</v>
          </cell>
          <cell r="E44" t="str">
            <v>300 B</v>
          </cell>
          <cell r="F44">
            <v>105</v>
          </cell>
          <cell r="G44">
            <v>111900</v>
          </cell>
          <cell r="H44">
            <v>358080</v>
          </cell>
          <cell r="I44">
            <v>35.81</v>
          </cell>
          <cell r="J44">
            <v>8.9499999999999993</v>
          </cell>
          <cell r="K44">
            <v>44.76</v>
          </cell>
          <cell r="L44">
            <v>35.81</v>
          </cell>
          <cell r="M44">
            <v>14.7</v>
          </cell>
          <cell r="N44">
            <v>19.260000000000002</v>
          </cell>
          <cell r="O44">
            <v>5.78</v>
          </cell>
          <cell r="P44">
            <v>25.04</v>
          </cell>
        </row>
        <row r="45">
          <cell r="A45">
            <v>37</v>
          </cell>
          <cell r="C45" t="str">
            <v>Rodillo neumático</v>
          </cell>
          <cell r="D45" t="str">
            <v>Dynapac</v>
          </cell>
          <cell r="E45" t="str">
            <v>C P 221</v>
          </cell>
          <cell r="F45">
            <v>100</v>
          </cell>
          <cell r="G45">
            <v>69795</v>
          </cell>
          <cell r="H45">
            <v>223344</v>
          </cell>
          <cell r="I45">
            <v>22.33</v>
          </cell>
          <cell r="J45">
            <v>5.58</v>
          </cell>
          <cell r="K45">
            <v>27.91</v>
          </cell>
          <cell r="L45">
            <v>22.33</v>
          </cell>
          <cell r="M45">
            <v>14</v>
          </cell>
          <cell r="N45">
            <v>18.34</v>
          </cell>
          <cell r="O45">
            <v>5.5</v>
          </cell>
          <cell r="P45">
            <v>23.84</v>
          </cell>
        </row>
        <row r="46">
          <cell r="A46">
            <v>38</v>
          </cell>
          <cell r="C46" t="str">
            <v>Tractor s/ neumaticos</v>
          </cell>
          <cell r="D46" t="str">
            <v>Deutz</v>
          </cell>
          <cell r="E46" t="str">
            <v>AX  414 S</v>
          </cell>
          <cell r="F46">
            <v>130</v>
          </cell>
          <cell r="G46">
            <v>37200</v>
          </cell>
          <cell r="H46">
            <v>119040</v>
          </cell>
          <cell r="I46">
            <v>11.9</v>
          </cell>
          <cell r="J46">
            <v>2.98</v>
          </cell>
          <cell r="K46">
            <v>14.88</v>
          </cell>
          <cell r="L46">
            <v>11.9</v>
          </cell>
          <cell r="M46">
            <v>18.2</v>
          </cell>
          <cell r="N46">
            <v>23.84</v>
          </cell>
          <cell r="O46">
            <v>7.15</v>
          </cell>
          <cell r="P46">
            <v>30.99</v>
          </cell>
        </row>
        <row r="47">
          <cell r="A47">
            <v>39</v>
          </cell>
          <cell r="C47" t="str">
            <v>Tractor s/ neumáticos</v>
          </cell>
          <cell r="D47" t="str">
            <v>Deutz</v>
          </cell>
          <cell r="E47" t="str">
            <v>AX 4100</v>
          </cell>
          <cell r="F47">
            <v>107</v>
          </cell>
          <cell r="G47">
            <v>26100</v>
          </cell>
          <cell r="H47">
            <v>83520</v>
          </cell>
          <cell r="I47">
            <v>8.35</v>
          </cell>
          <cell r="J47">
            <v>2.09</v>
          </cell>
          <cell r="K47">
            <v>10.44</v>
          </cell>
          <cell r="L47">
            <v>8.35</v>
          </cell>
          <cell r="M47">
            <v>14.98</v>
          </cell>
          <cell r="N47">
            <v>19.62</v>
          </cell>
          <cell r="O47">
            <v>5.89</v>
          </cell>
          <cell r="P47">
            <v>25.51</v>
          </cell>
        </row>
        <row r="48">
          <cell r="A48">
            <v>40</v>
          </cell>
          <cell r="C48" t="str">
            <v>Terminadora asfáltica</v>
          </cell>
          <cell r="D48" t="str">
            <v>Barber Green</v>
          </cell>
          <cell r="E48">
            <v>235</v>
          </cell>
          <cell r="F48">
            <v>107</v>
          </cell>
          <cell r="G48">
            <v>94500</v>
          </cell>
          <cell r="H48">
            <v>302400</v>
          </cell>
          <cell r="I48">
            <v>30.24</v>
          </cell>
          <cell r="J48">
            <v>7.56</v>
          </cell>
          <cell r="K48">
            <v>37.799999999999997</v>
          </cell>
          <cell r="L48">
            <v>30.24</v>
          </cell>
          <cell r="M48">
            <v>14.98</v>
          </cell>
          <cell r="N48">
            <v>19.62</v>
          </cell>
          <cell r="O48">
            <v>5.89</v>
          </cell>
          <cell r="P48">
            <v>25.51</v>
          </cell>
        </row>
        <row r="49">
          <cell r="A49">
            <v>41</v>
          </cell>
          <cell r="C49" t="str">
            <v xml:space="preserve">Distribuidora de piedra </v>
          </cell>
          <cell r="D49" t="str">
            <v>Etnyre</v>
          </cell>
          <cell r="F49">
            <v>90</v>
          </cell>
          <cell r="G49">
            <v>70000</v>
          </cell>
          <cell r="H49">
            <v>224000</v>
          </cell>
          <cell r="I49">
            <v>22.4</v>
          </cell>
          <cell r="J49">
            <v>5.6</v>
          </cell>
          <cell r="K49">
            <v>28</v>
          </cell>
          <cell r="L49">
            <v>22.4</v>
          </cell>
          <cell r="M49">
            <v>12.6</v>
          </cell>
          <cell r="N49">
            <v>16.510000000000002</v>
          </cell>
          <cell r="O49">
            <v>4.95</v>
          </cell>
          <cell r="P49">
            <v>21.46</v>
          </cell>
        </row>
        <row r="50">
          <cell r="A50">
            <v>41.1</v>
          </cell>
          <cell r="C50" t="str">
            <v>Distribuidora de estabilizado</v>
          </cell>
          <cell r="D50" t="str">
            <v>Súper</v>
          </cell>
          <cell r="E50" t="str">
            <v>SD 1</v>
          </cell>
          <cell r="F50">
            <v>74</v>
          </cell>
          <cell r="G50">
            <v>68000</v>
          </cell>
          <cell r="H50">
            <v>217600</v>
          </cell>
          <cell r="I50">
            <v>21.76</v>
          </cell>
          <cell r="J50">
            <v>5.44</v>
          </cell>
          <cell r="K50">
            <v>27.2</v>
          </cell>
          <cell r="L50">
            <v>21.76</v>
          </cell>
          <cell r="M50">
            <v>10.36</v>
          </cell>
          <cell r="N50">
            <v>13.57</v>
          </cell>
          <cell r="O50">
            <v>4.07</v>
          </cell>
          <cell r="P50">
            <v>17.64</v>
          </cell>
        </row>
        <row r="51">
          <cell r="A51">
            <v>42</v>
          </cell>
          <cell r="C51" t="str">
            <v>Barredora sopladora</v>
          </cell>
          <cell r="D51" t="str">
            <v>Fraccia</v>
          </cell>
          <cell r="E51" t="str">
            <v>BS-24</v>
          </cell>
          <cell r="F51">
            <v>40</v>
          </cell>
          <cell r="G51">
            <v>12000</v>
          </cell>
          <cell r="H51">
            <v>38400</v>
          </cell>
          <cell r="I51">
            <v>3.84</v>
          </cell>
          <cell r="J51">
            <v>0.96</v>
          </cell>
          <cell r="K51">
            <v>4.8</v>
          </cell>
          <cell r="L51">
            <v>3.84</v>
          </cell>
          <cell r="M51">
            <v>5.6</v>
          </cell>
          <cell r="N51">
            <v>7.34</v>
          </cell>
          <cell r="O51">
            <v>2.2000000000000002</v>
          </cell>
          <cell r="P51">
            <v>9.5399999999999991</v>
          </cell>
        </row>
        <row r="52">
          <cell r="A52">
            <v>43</v>
          </cell>
          <cell r="C52" t="str">
            <v>Perforadora de roca</v>
          </cell>
          <cell r="D52" t="str">
            <v>Tamrock</v>
          </cell>
          <cell r="E52" t="str">
            <v>Dhat</v>
          </cell>
          <cell r="F52">
            <v>144</v>
          </cell>
          <cell r="G52">
            <v>230000</v>
          </cell>
          <cell r="H52">
            <v>736000</v>
          </cell>
          <cell r="I52">
            <v>73.599999999999994</v>
          </cell>
          <cell r="J52">
            <v>18.399999999999999</v>
          </cell>
          <cell r="K52">
            <v>92</v>
          </cell>
          <cell r="L52">
            <v>73.599999999999994</v>
          </cell>
          <cell r="M52">
            <v>20.16</v>
          </cell>
          <cell r="N52">
            <v>26.41</v>
          </cell>
          <cell r="O52">
            <v>7.92</v>
          </cell>
          <cell r="P52">
            <v>34.33</v>
          </cell>
        </row>
        <row r="53">
          <cell r="A53">
            <v>44</v>
          </cell>
          <cell r="C53" t="str">
            <v>Motocompresor</v>
          </cell>
          <cell r="D53" t="str">
            <v>Atlas Copco</v>
          </cell>
          <cell r="E53" t="str">
            <v>XA-350</v>
          </cell>
          <cell r="F53">
            <v>220</v>
          </cell>
          <cell r="G53">
            <v>64000</v>
          </cell>
          <cell r="H53">
            <v>204800</v>
          </cell>
          <cell r="I53">
            <v>20.48</v>
          </cell>
          <cell r="J53">
            <v>5.12</v>
          </cell>
          <cell r="K53">
            <v>25.6</v>
          </cell>
          <cell r="L53">
            <v>20.48</v>
          </cell>
          <cell r="M53">
            <v>30.8</v>
          </cell>
          <cell r="N53">
            <v>40.35</v>
          </cell>
          <cell r="O53">
            <v>12.11</v>
          </cell>
          <cell r="P53">
            <v>52.46</v>
          </cell>
        </row>
        <row r="54">
          <cell r="A54">
            <v>45</v>
          </cell>
          <cell r="C54" t="str">
            <v>Motocompresor</v>
          </cell>
          <cell r="D54" t="str">
            <v>Atlas Copco</v>
          </cell>
          <cell r="E54" t="str">
            <v>XA-160D</v>
          </cell>
          <cell r="F54">
            <v>111</v>
          </cell>
          <cell r="G54">
            <v>35000</v>
          </cell>
          <cell r="H54">
            <v>112000</v>
          </cell>
          <cell r="I54">
            <v>11.2</v>
          </cell>
          <cell r="J54">
            <v>2.8</v>
          </cell>
          <cell r="K54">
            <v>14</v>
          </cell>
          <cell r="L54">
            <v>11.2</v>
          </cell>
          <cell r="M54">
            <v>15.54</v>
          </cell>
          <cell r="N54">
            <v>20.36</v>
          </cell>
          <cell r="O54">
            <v>6.11</v>
          </cell>
          <cell r="P54">
            <v>26.47</v>
          </cell>
        </row>
        <row r="55">
          <cell r="A55">
            <v>46</v>
          </cell>
          <cell r="C55" t="str">
            <v>Camión volcador</v>
          </cell>
          <cell r="D55" t="str">
            <v xml:space="preserve">Ford </v>
          </cell>
          <cell r="E55" t="str">
            <v>p/ 10 Tn</v>
          </cell>
          <cell r="F55">
            <v>110</v>
          </cell>
          <cell r="G55">
            <v>40000</v>
          </cell>
          <cell r="H55">
            <v>128000</v>
          </cell>
          <cell r="I55">
            <v>12.8</v>
          </cell>
          <cell r="J55">
            <v>3.2</v>
          </cell>
          <cell r="K55">
            <v>16</v>
          </cell>
          <cell r="L55">
            <v>12.8</v>
          </cell>
          <cell r="M55">
            <v>15.4</v>
          </cell>
          <cell r="N55">
            <v>20.170000000000002</v>
          </cell>
          <cell r="O55">
            <v>6.05</v>
          </cell>
          <cell r="P55">
            <v>26.22</v>
          </cell>
        </row>
        <row r="56">
          <cell r="A56">
            <v>47</v>
          </cell>
          <cell r="C56" t="str">
            <v>Camión volcador</v>
          </cell>
          <cell r="E56" t="str">
            <v>p/ 15 Tn</v>
          </cell>
          <cell r="F56">
            <v>140</v>
          </cell>
          <cell r="G56">
            <v>70000</v>
          </cell>
          <cell r="H56">
            <v>224000</v>
          </cell>
          <cell r="I56">
            <v>22.4</v>
          </cell>
          <cell r="J56">
            <v>5.6</v>
          </cell>
          <cell r="K56">
            <v>28</v>
          </cell>
          <cell r="L56">
            <v>22.4</v>
          </cell>
          <cell r="M56">
            <v>19.600000000000001</v>
          </cell>
          <cell r="N56">
            <v>25.68</v>
          </cell>
          <cell r="O56">
            <v>7.7</v>
          </cell>
          <cell r="P56">
            <v>33.380000000000003</v>
          </cell>
        </row>
        <row r="57">
          <cell r="A57">
            <v>48</v>
          </cell>
          <cell r="C57" t="str">
            <v>Camión volcador</v>
          </cell>
          <cell r="D57" t="str">
            <v xml:space="preserve">Terex </v>
          </cell>
          <cell r="E57" t="str">
            <v>33-03 B</v>
          </cell>
          <cell r="F57">
            <v>235</v>
          </cell>
          <cell r="G57">
            <v>140000</v>
          </cell>
          <cell r="H57">
            <v>448000</v>
          </cell>
          <cell r="I57">
            <v>44.8</v>
          </cell>
          <cell r="J57">
            <v>11.2</v>
          </cell>
          <cell r="K57">
            <v>56</v>
          </cell>
          <cell r="L57">
            <v>44.8</v>
          </cell>
          <cell r="M57">
            <v>32.9</v>
          </cell>
          <cell r="N57">
            <v>43.1</v>
          </cell>
          <cell r="O57">
            <v>12.93</v>
          </cell>
          <cell r="P57">
            <v>56.03</v>
          </cell>
        </row>
        <row r="58">
          <cell r="A58">
            <v>49</v>
          </cell>
          <cell r="C58" t="str">
            <v>Camión regador de asfalto</v>
          </cell>
          <cell r="D58" t="str">
            <v xml:space="preserve">Ford </v>
          </cell>
          <cell r="E58" t="str">
            <v>c/ eq Fraccia</v>
          </cell>
          <cell r="F58">
            <v>110</v>
          </cell>
          <cell r="G58">
            <v>85000</v>
          </cell>
          <cell r="H58">
            <v>272000</v>
          </cell>
          <cell r="I58">
            <v>27.2</v>
          </cell>
          <cell r="J58">
            <v>6.8</v>
          </cell>
          <cell r="K58">
            <v>34</v>
          </cell>
          <cell r="L58">
            <v>27.2</v>
          </cell>
          <cell r="M58">
            <v>15.4</v>
          </cell>
          <cell r="N58">
            <v>20.170000000000002</v>
          </cell>
          <cell r="O58">
            <v>6.05</v>
          </cell>
          <cell r="P58">
            <v>26.22</v>
          </cell>
        </row>
        <row r="59">
          <cell r="A59">
            <v>50</v>
          </cell>
          <cell r="C59" t="str">
            <v>Camión regador de agua</v>
          </cell>
          <cell r="D59" t="str">
            <v>Fiat</v>
          </cell>
          <cell r="E59" t="str">
            <v>697N</v>
          </cell>
          <cell r="F59">
            <v>233</v>
          </cell>
          <cell r="G59">
            <v>89000</v>
          </cell>
          <cell r="H59">
            <v>284800</v>
          </cell>
          <cell r="I59">
            <v>28.48</v>
          </cell>
          <cell r="J59">
            <v>7.12</v>
          </cell>
          <cell r="K59">
            <v>35.6</v>
          </cell>
          <cell r="L59">
            <v>28.48</v>
          </cell>
          <cell r="M59">
            <v>32.619999999999997</v>
          </cell>
          <cell r="N59">
            <v>42.73</v>
          </cell>
          <cell r="O59">
            <v>12.82</v>
          </cell>
          <cell r="P59">
            <v>55.55</v>
          </cell>
        </row>
        <row r="60">
          <cell r="A60">
            <v>51</v>
          </cell>
          <cell r="C60" t="str">
            <v>Camión motohormigonero</v>
          </cell>
          <cell r="D60" t="str">
            <v>Fiat</v>
          </cell>
          <cell r="E60" t="str">
            <v>697N</v>
          </cell>
          <cell r="F60">
            <v>233</v>
          </cell>
          <cell r="G60">
            <v>119000</v>
          </cell>
          <cell r="H60">
            <v>380800</v>
          </cell>
          <cell r="I60">
            <v>38.08</v>
          </cell>
          <cell r="J60">
            <v>9.52</v>
          </cell>
          <cell r="K60">
            <v>47.6</v>
          </cell>
          <cell r="L60">
            <v>38.08</v>
          </cell>
          <cell r="M60">
            <v>32.619999999999997</v>
          </cell>
          <cell r="N60">
            <v>42.73</v>
          </cell>
          <cell r="O60">
            <v>12.82</v>
          </cell>
          <cell r="P60">
            <v>55.55</v>
          </cell>
        </row>
        <row r="61">
          <cell r="A61">
            <v>52</v>
          </cell>
          <cell r="C61" t="str">
            <v>Camión volcador</v>
          </cell>
          <cell r="D61" t="str">
            <v>Fiat</v>
          </cell>
          <cell r="E61" t="str">
            <v>697N</v>
          </cell>
          <cell r="F61">
            <v>233</v>
          </cell>
          <cell r="G61">
            <v>89000</v>
          </cell>
          <cell r="H61">
            <v>284800</v>
          </cell>
          <cell r="I61">
            <v>28.48</v>
          </cell>
          <cell r="J61">
            <v>7.12</v>
          </cell>
          <cell r="K61">
            <v>35.6</v>
          </cell>
          <cell r="L61">
            <v>28.48</v>
          </cell>
          <cell r="M61">
            <v>32.619999999999997</v>
          </cell>
          <cell r="N61">
            <v>42.73</v>
          </cell>
          <cell r="O61">
            <v>12.82</v>
          </cell>
          <cell r="P61">
            <v>55.55</v>
          </cell>
        </row>
        <row r="62">
          <cell r="A62">
            <v>53</v>
          </cell>
          <cell r="C62" t="str">
            <v>Camión regador de agua</v>
          </cell>
          <cell r="D62" t="str">
            <v>Iveco</v>
          </cell>
          <cell r="E62" t="str">
            <v>150E 20N</v>
          </cell>
          <cell r="F62">
            <v>128</v>
          </cell>
          <cell r="G62">
            <v>53900</v>
          </cell>
          <cell r="H62">
            <v>172480</v>
          </cell>
          <cell r="I62">
            <v>17.25</v>
          </cell>
          <cell r="J62">
            <v>4.3099999999999996</v>
          </cell>
          <cell r="K62">
            <v>21.56</v>
          </cell>
          <cell r="L62">
            <v>17.25</v>
          </cell>
          <cell r="M62">
            <v>17.920000000000002</v>
          </cell>
          <cell r="N62">
            <v>23.48</v>
          </cell>
          <cell r="O62">
            <v>7.04</v>
          </cell>
          <cell r="P62">
            <v>30.52</v>
          </cell>
        </row>
        <row r="63">
          <cell r="A63">
            <v>54</v>
          </cell>
          <cell r="C63" t="str">
            <v>Motohormigonera</v>
          </cell>
          <cell r="D63" t="str">
            <v>Betonmac</v>
          </cell>
          <cell r="E63" t="str">
            <v>MTH-8/MA</v>
          </cell>
          <cell r="G63">
            <v>30000</v>
          </cell>
          <cell r="H63">
            <v>96000</v>
          </cell>
          <cell r="I63">
            <v>9.6</v>
          </cell>
          <cell r="J63">
            <v>2.4</v>
          </cell>
          <cell r="K63">
            <v>12</v>
          </cell>
          <cell r="L63">
            <v>9.6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</row>
        <row r="64">
          <cell r="A64">
            <v>55</v>
          </cell>
          <cell r="C64" t="str">
            <v>Planta de hormigón</v>
          </cell>
          <cell r="D64" t="str">
            <v>CIFA Personal-5</v>
          </cell>
          <cell r="E64" t="str">
            <v>50m3/h</v>
          </cell>
          <cell r="G64">
            <v>290000</v>
          </cell>
          <cell r="H64">
            <v>928000</v>
          </cell>
          <cell r="I64">
            <v>92.8</v>
          </cell>
          <cell r="J64">
            <v>23.2</v>
          </cell>
          <cell r="K64">
            <v>116</v>
          </cell>
          <cell r="L64">
            <v>92.8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</row>
        <row r="65">
          <cell r="A65">
            <v>56</v>
          </cell>
          <cell r="C65" t="str">
            <v>Planta asfáltica</v>
          </cell>
          <cell r="D65" t="str">
            <v>Marini</v>
          </cell>
          <cell r="E65" t="str">
            <v>M-150</v>
          </cell>
          <cell r="G65">
            <v>1000000</v>
          </cell>
          <cell r="H65">
            <v>3200000</v>
          </cell>
          <cell r="I65">
            <v>320</v>
          </cell>
          <cell r="J65">
            <v>80</v>
          </cell>
          <cell r="K65">
            <v>400</v>
          </cell>
          <cell r="L65">
            <v>320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A66">
            <v>57</v>
          </cell>
          <cell r="C66" t="str">
            <v>Planta de hormigón</v>
          </cell>
          <cell r="D66" t="str">
            <v>Cifali</v>
          </cell>
          <cell r="G66">
            <v>488280</v>
          </cell>
          <cell r="H66">
            <v>1562496</v>
          </cell>
          <cell r="I66">
            <v>156.25</v>
          </cell>
          <cell r="J66">
            <v>39.06</v>
          </cell>
          <cell r="K66">
            <v>195.31</v>
          </cell>
          <cell r="L66">
            <v>156.25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</row>
        <row r="67">
          <cell r="A67">
            <v>58</v>
          </cell>
          <cell r="C67" t="str">
            <v>Planta trituradora</v>
          </cell>
          <cell r="D67" t="str">
            <v>Barber Green</v>
          </cell>
          <cell r="E67" t="str">
            <v>???</v>
          </cell>
          <cell r="F67">
            <v>800</v>
          </cell>
          <cell r="G67">
            <v>1000000</v>
          </cell>
          <cell r="H67">
            <v>3200000</v>
          </cell>
          <cell r="I67">
            <v>320</v>
          </cell>
          <cell r="J67">
            <v>80</v>
          </cell>
          <cell r="K67">
            <v>400</v>
          </cell>
          <cell r="L67">
            <v>320</v>
          </cell>
          <cell r="M67">
            <v>112</v>
          </cell>
          <cell r="N67">
            <v>146.72</v>
          </cell>
          <cell r="O67">
            <v>44.02</v>
          </cell>
          <cell r="P67">
            <v>190.74</v>
          </cell>
        </row>
        <row r="68">
          <cell r="A68">
            <v>59</v>
          </cell>
          <cell r="C68" t="str">
            <v>Planta de estabilizado</v>
          </cell>
          <cell r="E68" t="str">
            <v>300-600 t/h</v>
          </cell>
          <cell r="G68">
            <v>200000</v>
          </cell>
          <cell r="H68">
            <v>640000</v>
          </cell>
          <cell r="I68">
            <v>64</v>
          </cell>
          <cell r="J68">
            <v>16</v>
          </cell>
          <cell r="K68">
            <v>80</v>
          </cell>
          <cell r="L68">
            <v>64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</row>
        <row r="69">
          <cell r="A69">
            <v>60</v>
          </cell>
          <cell r="C69" t="str">
            <v>Planta de estabilizado</v>
          </cell>
          <cell r="D69" t="str">
            <v>Ferroni  (200t/h)</v>
          </cell>
          <cell r="E69" t="str">
            <v>PMS 200</v>
          </cell>
          <cell r="G69">
            <v>140000</v>
          </cell>
          <cell r="H69">
            <v>448000</v>
          </cell>
          <cell r="I69">
            <v>44.8</v>
          </cell>
          <cell r="J69">
            <v>11.2</v>
          </cell>
          <cell r="K69">
            <v>56</v>
          </cell>
          <cell r="L69">
            <v>44.8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</row>
        <row r="70">
          <cell r="A70">
            <v>61</v>
          </cell>
          <cell r="C70" t="str">
            <v>Rastra de discos</v>
          </cell>
          <cell r="D70" t="str">
            <v>Rome</v>
          </cell>
          <cell r="E70" t="str">
            <v>CH 225R (24 d)</v>
          </cell>
          <cell r="G70">
            <v>5500</v>
          </cell>
          <cell r="H70">
            <v>17600</v>
          </cell>
          <cell r="I70">
            <v>1.76</v>
          </cell>
          <cell r="J70">
            <v>0.44</v>
          </cell>
          <cell r="K70">
            <v>2.2000000000000002</v>
          </cell>
          <cell r="L70">
            <v>1.76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</row>
        <row r="71">
          <cell r="A71">
            <v>62</v>
          </cell>
          <cell r="C71" t="str">
            <v>Palas de arrastre</v>
          </cell>
          <cell r="D71" t="str">
            <v>Tandem (2)</v>
          </cell>
          <cell r="G71">
            <v>30000</v>
          </cell>
          <cell r="H71">
            <v>96000</v>
          </cell>
          <cell r="I71">
            <v>9.6</v>
          </cell>
          <cell r="J71">
            <v>2.4</v>
          </cell>
          <cell r="K71">
            <v>12</v>
          </cell>
          <cell r="L71">
            <v>9.6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</row>
        <row r="72">
          <cell r="A72">
            <v>63</v>
          </cell>
          <cell r="C72" t="str">
            <v xml:space="preserve">Camión c/ hidrogrúa </v>
          </cell>
          <cell r="D72" t="str">
            <v>Iveco</v>
          </cell>
          <cell r="E72" t="str">
            <v>Daily DC 49-10</v>
          </cell>
          <cell r="F72">
            <v>70</v>
          </cell>
          <cell r="G72">
            <v>51000</v>
          </cell>
          <cell r="H72">
            <v>163200</v>
          </cell>
          <cell r="I72">
            <v>16.32</v>
          </cell>
          <cell r="J72">
            <v>4.08</v>
          </cell>
          <cell r="K72">
            <v>20.399999999999999</v>
          </cell>
          <cell r="L72">
            <v>16.32</v>
          </cell>
          <cell r="M72">
            <v>9.8000000000000007</v>
          </cell>
          <cell r="N72">
            <v>12.84</v>
          </cell>
          <cell r="O72">
            <v>3.85</v>
          </cell>
          <cell r="P72">
            <v>16.690000000000001</v>
          </cell>
        </row>
        <row r="73">
          <cell r="A73">
            <v>64</v>
          </cell>
          <cell r="C73" t="str">
            <v>Grupo electrógeno</v>
          </cell>
          <cell r="D73" t="str">
            <v>CAT</v>
          </cell>
          <cell r="E73">
            <v>3516</v>
          </cell>
          <cell r="F73">
            <v>1286</v>
          </cell>
          <cell r="G73">
            <v>107350</v>
          </cell>
          <cell r="H73">
            <v>343520</v>
          </cell>
          <cell r="I73">
            <v>34.35</v>
          </cell>
          <cell r="J73">
            <v>8.59</v>
          </cell>
          <cell r="K73">
            <v>42.94</v>
          </cell>
          <cell r="L73">
            <v>34.35</v>
          </cell>
          <cell r="M73">
            <v>180.04</v>
          </cell>
          <cell r="N73">
            <v>235.85</v>
          </cell>
          <cell r="O73">
            <v>70.760000000000005</v>
          </cell>
          <cell r="P73">
            <v>306.61</v>
          </cell>
        </row>
        <row r="74">
          <cell r="A74">
            <v>65</v>
          </cell>
          <cell r="C74" t="str">
            <v>Grupo electrógeno</v>
          </cell>
          <cell r="D74" t="str">
            <v>CAT</v>
          </cell>
          <cell r="E74">
            <v>3406</v>
          </cell>
          <cell r="F74">
            <v>250</v>
          </cell>
          <cell r="G74">
            <v>58000</v>
          </cell>
          <cell r="H74">
            <v>185600</v>
          </cell>
          <cell r="I74">
            <v>18.559999999999999</v>
          </cell>
          <cell r="J74">
            <v>4.6399999999999997</v>
          </cell>
          <cell r="K74">
            <v>23.2</v>
          </cell>
          <cell r="L74">
            <v>18.559999999999999</v>
          </cell>
          <cell r="M74">
            <v>35</v>
          </cell>
          <cell r="N74">
            <v>45.85</v>
          </cell>
          <cell r="O74">
            <v>13.76</v>
          </cell>
          <cell r="P74">
            <v>59.61</v>
          </cell>
        </row>
        <row r="75">
          <cell r="A75">
            <v>66</v>
          </cell>
          <cell r="C75" t="str">
            <v>Grupo electrógeno</v>
          </cell>
          <cell r="D75" t="str">
            <v>Cummins</v>
          </cell>
          <cell r="E75" t="str">
            <v>MW 70 / M6C6-4</v>
          </cell>
          <cell r="F75">
            <v>135</v>
          </cell>
          <cell r="G75">
            <v>32000</v>
          </cell>
          <cell r="H75">
            <v>102400</v>
          </cell>
          <cell r="I75">
            <v>10.24</v>
          </cell>
          <cell r="J75">
            <v>2.56</v>
          </cell>
          <cell r="K75">
            <v>12.8</v>
          </cell>
          <cell r="L75">
            <v>10.24</v>
          </cell>
          <cell r="M75">
            <v>18.899999999999999</v>
          </cell>
          <cell r="N75">
            <v>24.76</v>
          </cell>
          <cell r="O75">
            <v>7.43</v>
          </cell>
          <cell r="P75">
            <v>32.19</v>
          </cell>
        </row>
        <row r="76">
          <cell r="A76">
            <v>67</v>
          </cell>
          <cell r="C76" t="str">
            <v>Motobomba</v>
          </cell>
          <cell r="D76" t="str">
            <v>Perkins</v>
          </cell>
          <cell r="E76" t="str">
            <v>6/354-2</v>
          </cell>
          <cell r="F76">
            <v>50</v>
          </cell>
          <cell r="G76">
            <v>5500</v>
          </cell>
          <cell r="H76">
            <v>17600</v>
          </cell>
          <cell r="I76">
            <v>1.76</v>
          </cell>
          <cell r="J76">
            <v>0.44</v>
          </cell>
          <cell r="K76">
            <v>2.2000000000000002</v>
          </cell>
          <cell r="L76">
            <v>1.76</v>
          </cell>
          <cell r="M76">
            <v>7</v>
          </cell>
          <cell r="N76">
            <v>9.17</v>
          </cell>
          <cell r="O76">
            <v>2.75</v>
          </cell>
          <cell r="P76">
            <v>11.92</v>
          </cell>
        </row>
        <row r="77">
          <cell r="A77">
            <v>68</v>
          </cell>
          <cell r="C77" t="str">
            <v>Hoyadora</v>
          </cell>
          <cell r="G77">
            <v>5600</v>
          </cell>
          <cell r="H77">
            <v>17920</v>
          </cell>
          <cell r="I77">
            <v>1.79</v>
          </cell>
          <cell r="J77">
            <v>0.45</v>
          </cell>
          <cell r="K77">
            <v>2.2400000000000002</v>
          </cell>
          <cell r="L77">
            <v>1.79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</row>
        <row r="78">
          <cell r="A78">
            <v>69</v>
          </cell>
          <cell r="C78" t="str">
            <v>Aserradora de juntas</v>
          </cell>
          <cell r="D78" t="str">
            <v>Fraccia</v>
          </cell>
          <cell r="F78">
            <v>11</v>
          </cell>
          <cell r="G78">
            <v>19620</v>
          </cell>
          <cell r="H78">
            <v>62784</v>
          </cell>
          <cell r="I78">
            <v>6.28</v>
          </cell>
          <cell r="J78">
            <v>1.57</v>
          </cell>
          <cell r="K78">
            <v>7.85</v>
          </cell>
          <cell r="L78">
            <v>6.28</v>
          </cell>
          <cell r="M78">
            <v>1.54</v>
          </cell>
          <cell r="N78">
            <v>2.02</v>
          </cell>
          <cell r="O78">
            <v>0.61</v>
          </cell>
          <cell r="P78">
            <v>2.63</v>
          </cell>
        </row>
        <row r="79">
          <cell r="A79">
            <v>70</v>
          </cell>
          <cell r="C79" t="str">
            <v>Caldera para juntas</v>
          </cell>
          <cell r="D79" t="str">
            <v>Fraccia</v>
          </cell>
          <cell r="E79" t="str">
            <v>500 lts.</v>
          </cell>
          <cell r="F79">
            <v>1.5</v>
          </cell>
          <cell r="G79">
            <v>3200</v>
          </cell>
          <cell r="H79">
            <v>10240</v>
          </cell>
          <cell r="I79">
            <v>1.02</v>
          </cell>
          <cell r="J79">
            <v>0.26</v>
          </cell>
          <cell r="K79">
            <v>1.28</v>
          </cell>
          <cell r="L79">
            <v>1.02</v>
          </cell>
          <cell r="M79">
            <v>0.21</v>
          </cell>
          <cell r="N79">
            <v>0.28000000000000003</v>
          </cell>
          <cell r="O79">
            <v>0.08</v>
          </cell>
          <cell r="P79">
            <v>0.36</v>
          </cell>
        </row>
        <row r="80">
          <cell r="A80">
            <v>71</v>
          </cell>
          <cell r="C80" t="str">
            <v>Moldes Pavimento</v>
          </cell>
          <cell r="F80">
            <v>25</v>
          </cell>
          <cell r="G80">
            <v>10900</v>
          </cell>
          <cell r="H80">
            <v>34880</v>
          </cell>
          <cell r="I80">
            <v>3.49</v>
          </cell>
          <cell r="J80">
            <v>0.87</v>
          </cell>
          <cell r="K80">
            <v>4.3600000000000003</v>
          </cell>
          <cell r="L80">
            <v>3.49</v>
          </cell>
          <cell r="M80">
            <v>3.5</v>
          </cell>
          <cell r="N80">
            <v>4.59</v>
          </cell>
          <cell r="O80">
            <v>1.38</v>
          </cell>
          <cell r="P80">
            <v>5.97</v>
          </cell>
        </row>
        <row r="81">
          <cell r="A81">
            <v>72</v>
          </cell>
          <cell r="C81" t="str">
            <v>Wagon drill</v>
          </cell>
          <cell r="F81">
            <v>136</v>
          </cell>
          <cell r="G81">
            <v>45000</v>
          </cell>
          <cell r="H81">
            <v>144000</v>
          </cell>
          <cell r="I81">
            <v>14.4</v>
          </cell>
          <cell r="J81">
            <v>3.6</v>
          </cell>
          <cell r="K81">
            <v>18</v>
          </cell>
          <cell r="L81">
            <v>14.4</v>
          </cell>
          <cell r="M81">
            <v>19.04</v>
          </cell>
          <cell r="N81">
            <v>24.94</v>
          </cell>
          <cell r="O81">
            <v>7.48</v>
          </cell>
          <cell r="P81">
            <v>32.42</v>
          </cell>
        </row>
        <row r="82">
          <cell r="A82">
            <v>73</v>
          </cell>
          <cell r="C82" t="str">
            <v>Distribuidora / Terminadora de hormigón</v>
          </cell>
          <cell r="D82" t="str">
            <v>Gomaco</v>
          </cell>
          <cell r="E82" t="str">
            <v>GPH-2800</v>
          </cell>
          <cell r="F82">
            <v>335</v>
          </cell>
          <cell r="G82">
            <v>1450000</v>
          </cell>
          <cell r="H82">
            <v>4640000</v>
          </cell>
          <cell r="I82">
            <v>464</v>
          </cell>
          <cell r="J82">
            <v>116</v>
          </cell>
          <cell r="K82">
            <v>580</v>
          </cell>
          <cell r="L82">
            <v>464</v>
          </cell>
          <cell r="M82">
            <v>46.9</v>
          </cell>
          <cell r="N82">
            <v>61.44</v>
          </cell>
          <cell r="O82">
            <v>18.43</v>
          </cell>
          <cell r="P82">
            <v>79.87</v>
          </cell>
        </row>
        <row r="83">
          <cell r="A83">
            <v>74</v>
          </cell>
          <cell r="C83" t="str">
            <v>Fresadora</v>
          </cell>
          <cell r="E83" t="str">
            <v>a: 1.90 m</v>
          </cell>
          <cell r="F83">
            <v>300</v>
          </cell>
          <cell r="G83">
            <v>500000</v>
          </cell>
          <cell r="H83">
            <v>1600000</v>
          </cell>
          <cell r="I83">
            <v>160</v>
          </cell>
          <cell r="J83">
            <v>40</v>
          </cell>
          <cell r="K83">
            <v>200</v>
          </cell>
          <cell r="L83">
            <v>160</v>
          </cell>
          <cell r="M83">
            <v>42</v>
          </cell>
          <cell r="N83">
            <v>55.02</v>
          </cell>
          <cell r="O83">
            <v>16.510000000000002</v>
          </cell>
          <cell r="P83">
            <v>71.53</v>
          </cell>
        </row>
        <row r="84">
          <cell r="A84">
            <v>75</v>
          </cell>
          <cell r="C84" t="str">
            <v>Equipo p/ señalización horizontal</v>
          </cell>
          <cell r="F84">
            <v>180</v>
          </cell>
          <cell r="G84">
            <v>179000</v>
          </cell>
          <cell r="H84">
            <v>572800</v>
          </cell>
          <cell r="I84">
            <v>57.28</v>
          </cell>
          <cell r="J84">
            <v>14.32</v>
          </cell>
          <cell r="K84">
            <v>71.599999999999994</v>
          </cell>
          <cell r="L84">
            <v>57.28</v>
          </cell>
          <cell r="M84">
            <v>25.2</v>
          </cell>
          <cell r="N84">
            <v>33.01</v>
          </cell>
          <cell r="O84">
            <v>9.9</v>
          </cell>
          <cell r="P84">
            <v>42.91</v>
          </cell>
        </row>
        <row r="85">
          <cell r="A85">
            <v>76</v>
          </cell>
          <cell r="C85" t="str">
            <v>Hormigonera de volteo</v>
          </cell>
          <cell r="F85">
            <v>10</v>
          </cell>
          <cell r="G85">
            <v>4300</v>
          </cell>
          <cell r="H85">
            <v>13760</v>
          </cell>
          <cell r="I85">
            <v>1.38</v>
          </cell>
          <cell r="J85">
            <v>0.34</v>
          </cell>
          <cell r="K85">
            <v>1.72</v>
          </cell>
          <cell r="L85">
            <v>1.38</v>
          </cell>
          <cell r="M85">
            <v>1.4</v>
          </cell>
          <cell r="N85">
            <v>1.83</v>
          </cell>
          <cell r="O85">
            <v>0.55000000000000004</v>
          </cell>
          <cell r="P85">
            <v>2.38</v>
          </cell>
        </row>
        <row r="86">
          <cell r="A86">
            <v>77</v>
          </cell>
          <cell r="C86" t="str">
            <v>Grúa s/ neumáticos</v>
          </cell>
          <cell r="D86" t="str">
            <v>P&amp;H</v>
          </cell>
          <cell r="E86" t="str">
            <v>Omega 23</v>
          </cell>
          <cell r="F86">
            <v>92</v>
          </cell>
          <cell r="G86">
            <v>250000</v>
          </cell>
          <cell r="H86">
            <v>800000</v>
          </cell>
          <cell r="I86">
            <v>80</v>
          </cell>
          <cell r="J86">
            <v>20</v>
          </cell>
          <cell r="K86">
            <v>100</v>
          </cell>
          <cell r="L86">
            <v>80</v>
          </cell>
          <cell r="M86">
            <v>12.88</v>
          </cell>
          <cell r="N86">
            <v>16.87</v>
          </cell>
          <cell r="O86">
            <v>5.0599999999999996</v>
          </cell>
          <cell r="P86">
            <v>21.93</v>
          </cell>
        </row>
        <row r="87">
          <cell r="A87">
            <v>78</v>
          </cell>
          <cell r="C87" t="str">
            <v>Grúa 70 Tn c/ kit de perforación</v>
          </cell>
          <cell r="F87">
            <v>260</v>
          </cell>
          <cell r="G87">
            <v>385000</v>
          </cell>
          <cell r="H87">
            <v>1232000</v>
          </cell>
          <cell r="I87">
            <v>123.2</v>
          </cell>
          <cell r="J87">
            <v>30.8</v>
          </cell>
          <cell r="K87">
            <v>154</v>
          </cell>
          <cell r="L87">
            <v>123.2</v>
          </cell>
          <cell r="M87">
            <v>36.4</v>
          </cell>
          <cell r="N87">
            <v>47.68</v>
          </cell>
          <cell r="O87">
            <v>14.3</v>
          </cell>
          <cell r="P87">
            <v>61.98</v>
          </cell>
        </row>
        <row r="88">
          <cell r="A88">
            <v>79</v>
          </cell>
          <cell r="C88" t="str">
            <v>Grúa s/ neumáticos 65 Tn</v>
          </cell>
          <cell r="F88">
            <v>230</v>
          </cell>
          <cell r="G88">
            <v>330000</v>
          </cell>
          <cell r="H88">
            <v>1056000</v>
          </cell>
          <cell r="I88">
            <v>105.6</v>
          </cell>
          <cell r="J88">
            <v>26.4</v>
          </cell>
          <cell r="K88">
            <v>132</v>
          </cell>
          <cell r="L88">
            <v>105.6</v>
          </cell>
          <cell r="M88">
            <v>32.200000000000003</v>
          </cell>
          <cell r="N88">
            <v>42.18</v>
          </cell>
          <cell r="O88">
            <v>12.65</v>
          </cell>
          <cell r="P88">
            <v>54.83</v>
          </cell>
        </row>
        <row r="89">
          <cell r="A89">
            <v>80</v>
          </cell>
          <cell r="C89" t="str">
            <v>Grúa s/neumáticos 50 Tn</v>
          </cell>
          <cell r="F89">
            <v>200</v>
          </cell>
          <cell r="G89">
            <v>305000</v>
          </cell>
          <cell r="H89">
            <v>976000</v>
          </cell>
          <cell r="I89">
            <v>97.6</v>
          </cell>
          <cell r="J89">
            <v>24.4</v>
          </cell>
          <cell r="K89">
            <v>122</v>
          </cell>
          <cell r="L89">
            <v>97.6</v>
          </cell>
          <cell r="M89">
            <v>28</v>
          </cell>
          <cell r="N89">
            <v>36.68</v>
          </cell>
          <cell r="O89">
            <v>11</v>
          </cell>
          <cell r="P89">
            <v>47.68</v>
          </cell>
        </row>
        <row r="90">
          <cell r="A90">
            <v>81</v>
          </cell>
          <cell r="C90" t="str">
            <v>Camión playo</v>
          </cell>
          <cell r="F90">
            <v>140</v>
          </cell>
          <cell r="G90">
            <v>65000</v>
          </cell>
          <cell r="H90">
            <v>208000</v>
          </cell>
          <cell r="I90">
            <v>20.8</v>
          </cell>
          <cell r="J90">
            <v>5.2</v>
          </cell>
          <cell r="K90">
            <v>26</v>
          </cell>
          <cell r="L90">
            <v>20.8</v>
          </cell>
          <cell r="M90">
            <v>19.600000000000001</v>
          </cell>
          <cell r="N90">
            <v>25.68</v>
          </cell>
          <cell r="O90">
            <v>7.7</v>
          </cell>
          <cell r="P90">
            <v>33.380000000000003</v>
          </cell>
        </row>
        <row r="91">
          <cell r="A91">
            <v>82</v>
          </cell>
          <cell r="C91" t="str">
            <v>Acoplado playo</v>
          </cell>
          <cell r="F91">
            <v>0</v>
          </cell>
          <cell r="G91">
            <v>8000</v>
          </cell>
          <cell r="H91">
            <v>25600</v>
          </cell>
          <cell r="I91">
            <v>2.56</v>
          </cell>
          <cell r="J91">
            <v>0.64</v>
          </cell>
          <cell r="K91">
            <v>3.2</v>
          </cell>
          <cell r="L91">
            <v>2.56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</row>
        <row r="92">
          <cell r="A92">
            <v>83</v>
          </cell>
          <cell r="C92" t="str">
            <v>Camión p/ tpte vigas</v>
          </cell>
          <cell r="F92">
            <v>260</v>
          </cell>
          <cell r="G92">
            <v>155000</v>
          </cell>
          <cell r="H92">
            <v>496000</v>
          </cell>
          <cell r="I92">
            <v>49.6</v>
          </cell>
          <cell r="J92">
            <v>12.4</v>
          </cell>
          <cell r="K92">
            <v>62</v>
          </cell>
          <cell r="L92">
            <v>49.6</v>
          </cell>
          <cell r="M92">
            <v>36.4</v>
          </cell>
          <cell r="N92">
            <v>47.68</v>
          </cell>
          <cell r="O92">
            <v>14.3</v>
          </cell>
          <cell r="P92">
            <v>61.98</v>
          </cell>
        </row>
        <row r="93">
          <cell r="A93">
            <v>84</v>
          </cell>
          <cell r="C93" t="str">
            <v>Cortadora / dobladora</v>
          </cell>
          <cell r="F93">
            <v>10</v>
          </cell>
          <cell r="G93">
            <v>7500</v>
          </cell>
          <cell r="H93">
            <v>24000</v>
          </cell>
          <cell r="I93">
            <v>2.4</v>
          </cell>
          <cell r="J93">
            <v>0.6</v>
          </cell>
          <cell r="K93">
            <v>3</v>
          </cell>
          <cell r="L93">
            <v>2.4</v>
          </cell>
          <cell r="M93">
            <v>1.4</v>
          </cell>
          <cell r="N93">
            <v>1.83</v>
          </cell>
          <cell r="O93">
            <v>0.55000000000000004</v>
          </cell>
          <cell r="P93">
            <v>2.38</v>
          </cell>
        </row>
        <row r="94">
          <cell r="A94">
            <v>85</v>
          </cell>
          <cell r="C94" t="str">
            <v>Equipo p/ tesado e inyección</v>
          </cell>
          <cell r="F94">
            <v>8</v>
          </cell>
          <cell r="G94">
            <v>4500</v>
          </cell>
          <cell r="H94">
            <v>14400</v>
          </cell>
          <cell r="I94">
            <v>1.44</v>
          </cell>
          <cell r="J94">
            <v>0.36</v>
          </cell>
          <cell r="K94">
            <v>1.8</v>
          </cell>
          <cell r="L94">
            <v>1.44</v>
          </cell>
          <cell r="M94">
            <v>1.1200000000000001</v>
          </cell>
          <cell r="N94">
            <v>1.47</v>
          </cell>
          <cell r="O94">
            <v>0.44</v>
          </cell>
          <cell r="P94">
            <v>1.91</v>
          </cell>
        </row>
        <row r="95">
          <cell r="A95">
            <v>86</v>
          </cell>
          <cell r="C95" t="str">
            <v>Distribuidora de estabilizado</v>
          </cell>
          <cell r="D95" t="str">
            <v>Ciber</v>
          </cell>
          <cell r="E95" t="str">
            <v>SD 1</v>
          </cell>
          <cell r="F95">
            <v>65</v>
          </cell>
          <cell r="G95">
            <v>24500</v>
          </cell>
          <cell r="H95">
            <v>78400</v>
          </cell>
          <cell r="I95">
            <v>7.84</v>
          </cell>
          <cell r="J95">
            <v>1.96</v>
          </cell>
          <cell r="K95">
            <v>9.8000000000000007</v>
          </cell>
          <cell r="L95">
            <v>7.84</v>
          </cell>
          <cell r="M95">
            <v>9.1</v>
          </cell>
          <cell r="N95">
            <v>11.92</v>
          </cell>
          <cell r="O95">
            <v>3.58</v>
          </cell>
          <cell r="P95">
            <v>15.5</v>
          </cell>
        </row>
        <row r="96">
          <cell r="A96">
            <v>87</v>
          </cell>
          <cell r="C96" t="str">
            <v>Grupo electrógeno</v>
          </cell>
          <cell r="D96" t="str">
            <v>Volvo - Palmero</v>
          </cell>
          <cell r="E96" t="str">
            <v>PV 329</v>
          </cell>
          <cell r="F96">
            <v>415</v>
          </cell>
          <cell r="G96">
            <v>88831</v>
          </cell>
          <cell r="H96">
            <v>284259.20000000001</v>
          </cell>
          <cell r="I96">
            <v>28.43</v>
          </cell>
          <cell r="J96">
            <v>7.11</v>
          </cell>
          <cell r="K96">
            <v>35.54</v>
          </cell>
          <cell r="L96">
            <v>28.43</v>
          </cell>
          <cell r="M96">
            <v>58.1</v>
          </cell>
          <cell r="N96">
            <v>76.11</v>
          </cell>
          <cell r="O96">
            <v>22.83</v>
          </cell>
          <cell r="P96">
            <v>98.94</v>
          </cell>
        </row>
        <row r="97">
          <cell r="A97">
            <v>88</v>
          </cell>
          <cell r="C97" t="str">
            <v>Grua todoterreno 30 Tn</v>
          </cell>
          <cell r="D97" t="str">
            <v>P&amp;H</v>
          </cell>
          <cell r="E97" t="str">
            <v>Omega 30</v>
          </cell>
          <cell r="F97">
            <v>110</v>
          </cell>
          <cell r="G97">
            <v>255000</v>
          </cell>
          <cell r="H97">
            <v>816000</v>
          </cell>
          <cell r="I97">
            <v>81.599999999999994</v>
          </cell>
          <cell r="J97">
            <v>20.399999999999999</v>
          </cell>
          <cell r="K97">
            <v>102</v>
          </cell>
          <cell r="L97">
            <v>81.599999999999994</v>
          </cell>
          <cell r="M97">
            <v>15.4</v>
          </cell>
          <cell r="N97">
            <v>20.170000000000002</v>
          </cell>
          <cell r="O97">
            <v>6.05</v>
          </cell>
          <cell r="P97">
            <v>26.22</v>
          </cell>
        </row>
        <row r="98">
          <cell r="A98">
            <v>89</v>
          </cell>
          <cell r="C98" t="str">
            <v>Bomba de hormigón</v>
          </cell>
          <cell r="D98" t="str">
            <v>Schwing</v>
          </cell>
          <cell r="E98" t="str">
            <v>P-305</v>
          </cell>
          <cell r="F98">
            <v>48</v>
          </cell>
          <cell r="G98">
            <v>39000</v>
          </cell>
          <cell r="H98">
            <v>124800</v>
          </cell>
          <cell r="I98">
            <v>12.48</v>
          </cell>
          <cell r="J98">
            <v>3.12</v>
          </cell>
          <cell r="K98">
            <v>15.6</v>
          </cell>
          <cell r="L98">
            <v>12.48</v>
          </cell>
          <cell r="M98">
            <v>6.72</v>
          </cell>
          <cell r="N98">
            <v>8.8000000000000007</v>
          </cell>
          <cell r="O98">
            <v>2.64</v>
          </cell>
          <cell r="P98">
            <v>11.44</v>
          </cell>
        </row>
        <row r="99">
          <cell r="A99">
            <v>90</v>
          </cell>
          <cell r="C99" t="str">
            <v>Equipo menor</v>
          </cell>
          <cell r="F99">
            <v>5</v>
          </cell>
          <cell r="G99">
            <v>5000</v>
          </cell>
          <cell r="H99">
            <v>16000</v>
          </cell>
          <cell r="I99">
            <v>1.6</v>
          </cell>
          <cell r="J99">
            <v>0.4</v>
          </cell>
          <cell r="K99">
            <v>2</v>
          </cell>
          <cell r="L99">
            <v>1.6</v>
          </cell>
          <cell r="M99">
            <v>0.7</v>
          </cell>
          <cell r="N99">
            <v>0.92</v>
          </cell>
          <cell r="O99">
            <v>0.28000000000000003</v>
          </cell>
          <cell r="P99">
            <v>1.2</v>
          </cell>
        </row>
      </sheetData>
      <sheetData sheetId="4">
        <row r="6">
          <cell r="A6">
            <v>0</v>
          </cell>
          <cell r="B6" t="str">
            <v>. . . . . . . . . . . . . . . . . . . . . . . . . . . . . . . .</v>
          </cell>
          <cell r="C6">
            <v>0</v>
          </cell>
          <cell r="D6">
            <v>0</v>
          </cell>
          <cell r="E6" t="str">
            <v>. . . . . . . . . . . . . . . . . . . . . . . . . . . . . . . . . . . . .</v>
          </cell>
          <cell r="F6" t="str">
            <v/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</row>
        <row r="7">
          <cell r="A7">
            <v>10</v>
          </cell>
          <cell r="B7" t="str">
            <v>ARENAS, CEMENTO Y OTROS</v>
          </cell>
        </row>
        <row r="8">
          <cell r="A8">
            <v>10.01</v>
          </cell>
          <cell r="C8" t="str">
            <v>01010</v>
          </cell>
          <cell r="D8" t="str">
            <v>01</v>
          </cell>
          <cell r="E8" t="str">
            <v>Arena silicea fina</v>
          </cell>
          <cell r="F8" t="str">
            <v>Tn</v>
          </cell>
          <cell r="G8">
            <v>12.5</v>
          </cell>
          <cell r="H8">
            <v>211</v>
          </cell>
          <cell r="I8">
            <v>0.12</v>
          </cell>
          <cell r="K8">
            <v>0.1</v>
          </cell>
          <cell r="L8">
            <v>12.5</v>
          </cell>
          <cell r="M8">
            <v>25.32</v>
          </cell>
          <cell r="N8">
            <v>0</v>
          </cell>
          <cell r="O8">
            <v>37.82</v>
          </cell>
          <cell r="P8">
            <v>3.78</v>
          </cell>
          <cell r="Q8">
            <v>41.6</v>
          </cell>
        </row>
        <row r="9">
          <cell r="A9">
            <v>10.02</v>
          </cell>
          <cell r="C9" t="str">
            <v>01020</v>
          </cell>
          <cell r="D9" t="str">
            <v>01L</v>
          </cell>
          <cell r="E9" t="str">
            <v>Arena silícea gruesa</v>
          </cell>
          <cell r="F9" t="str">
            <v>Tn</v>
          </cell>
          <cell r="G9">
            <v>6.06</v>
          </cell>
          <cell r="H9">
            <v>120</v>
          </cell>
          <cell r="I9">
            <v>0.15</v>
          </cell>
          <cell r="K9">
            <v>0.1</v>
          </cell>
          <cell r="L9">
            <v>6.06</v>
          </cell>
          <cell r="M9">
            <v>18</v>
          </cell>
          <cell r="N9">
            <v>0</v>
          </cell>
          <cell r="O9">
            <v>24.06</v>
          </cell>
          <cell r="P9">
            <v>2.41</v>
          </cell>
          <cell r="Q9">
            <v>26.47</v>
          </cell>
        </row>
        <row r="10">
          <cell r="A10">
            <v>10.029999999999999</v>
          </cell>
          <cell r="C10" t="str">
            <v>01020</v>
          </cell>
          <cell r="D10" t="str">
            <v>02L</v>
          </cell>
          <cell r="E10" t="str">
            <v>Arena silícea gruesa (p/ estabilizado)</v>
          </cell>
          <cell r="F10" t="str">
            <v>Tn</v>
          </cell>
          <cell r="G10">
            <v>5.51</v>
          </cell>
          <cell r="H10">
            <v>120</v>
          </cell>
          <cell r="I10">
            <v>0.15</v>
          </cell>
          <cell r="K10">
            <v>0.1</v>
          </cell>
          <cell r="L10">
            <v>5.51</v>
          </cell>
          <cell r="M10">
            <v>18</v>
          </cell>
          <cell r="N10">
            <v>0</v>
          </cell>
          <cell r="O10">
            <v>23.51</v>
          </cell>
          <cell r="P10">
            <v>2.35</v>
          </cell>
          <cell r="Q10">
            <v>25.86</v>
          </cell>
        </row>
        <row r="11">
          <cell r="A11">
            <v>10.039999999999999</v>
          </cell>
          <cell r="C11" t="str">
            <v>01020</v>
          </cell>
          <cell r="D11" t="str">
            <v>03L</v>
          </cell>
          <cell r="E11" t="str">
            <v>Mortero Cal - Cemento - Arena</v>
          </cell>
          <cell r="F11" t="str">
            <v>m³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</row>
        <row r="12">
          <cell r="A12">
            <v>10.050000000000001</v>
          </cell>
          <cell r="C12" t="str">
            <v>01020</v>
          </cell>
          <cell r="D12" t="str">
            <v>10</v>
          </cell>
          <cell r="E12" t="str">
            <v>Suelo seleccionado</v>
          </cell>
          <cell r="F12" t="str">
            <v>m³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</row>
        <row r="13">
          <cell r="A13">
            <v>10.06</v>
          </cell>
          <cell r="C13" t="str">
            <v>01020</v>
          </cell>
          <cell r="D13" t="str">
            <v>20</v>
          </cell>
          <cell r="E13" t="str">
            <v>Suelo - Arena</v>
          </cell>
          <cell r="F13" t="str">
            <v>Tn</v>
          </cell>
          <cell r="K13">
            <v>0.05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</row>
        <row r="14">
          <cell r="A14">
            <v>10.07</v>
          </cell>
          <cell r="C14" t="str">
            <v>01030</v>
          </cell>
          <cell r="D14" t="str">
            <v>06</v>
          </cell>
          <cell r="E14" t="str">
            <v>Agregado pétreo fino</v>
          </cell>
          <cell r="F14" t="str">
            <v>Tn</v>
          </cell>
          <cell r="G14">
            <v>18.5</v>
          </cell>
          <cell r="H14">
            <v>226</v>
          </cell>
          <cell r="I14">
            <v>0.12</v>
          </cell>
          <cell r="K14">
            <v>0.05</v>
          </cell>
          <cell r="L14">
            <v>18.5</v>
          </cell>
          <cell r="M14">
            <v>27.12</v>
          </cell>
          <cell r="N14">
            <v>0</v>
          </cell>
          <cell r="O14">
            <v>45.62</v>
          </cell>
          <cell r="P14">
            <v>2.2799999999999998</v>
          </cell>
          <cell r="Q14">
            <v>47.9</v>
          </cell>
        </row>
        <row r="15">
          <cell r="A15">
            <v>10.08</v>
          </cell>
          <cell r="C15" t="str">
            <v>01030</v>
          </cell>
          <cell r="D15" t="str">
            <v>09</v>
          </cell>
          <cell r="E15" t="str">
            <v>Agregado pétreo 3-9</v>
          </cell>
          <cell r="F15" t="str">
            <v>Tn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</row>
        <row r="16">
          <cell r="A16">
            <v>10.09</v>
          </cell>
          <cell r="C16" t="str">
            <v>01030</v>
          </cell>
          <cell r="D16" t="str">
            <v>18</v>
          </cell>
          <cell r="E16" t="str">
            <v>Agregado pétreo 9-18</v>
          </cell>
          <cell r="F16" t="str">
            <v>Tn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</row>
        <row r="17">
          <cell r="A17">
            <v>10.1</v>
          </cell>
          <cell r="C17" t="str">
            <v>01030</v>
          </cell>
          <cell r="D17" t="str">
            <v>19</v>
          </cell>
          <cell r="E17" t="str">
            <v>Agregado pétreo grueso</v>
          </cell>
          <cell r="F17" t="str">
            <v>Tn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</row>
        <row r="18">
          <cell r="A18">
            <v>10.11</v>
          </cell>
          <cell r="C18" t="str">
            <v>01030</v>
          </cell>
          <cell r="D18" t="str">
            <v>25</v>
          </cell>
          <cell r="E18" t="str">
            <v>Agregado pétreo 6-25</v>
          </cell>
          <cell r="F18" t="str">
            <v>Tn</v>
          </cell>
          <cell r="G18">
            <v>18.5</v>
          </cell>
          <cell r="H18">
            <v>226</v>
          </cell>
          <cell r="I18">
            <v>0.12</v>
          </cell>
          <cell r="K18">
            <v>0.05</v>
          </cell>
          <cell r="L18">
            <v>18.5</v>
          </cell>
          <cell r="M18">
            <v>27.12</v>
          </cell>
          <cell r="N18">
            <v>0</v>
          </cell>
          <cell r="O18">
            <v>45.62</v>
          </cell>
          <cell r="P18">
            <v>2.2799999999999998</v>
          </cell>
          <cell r="Q18">
            <v>47.9</v>
          </cell>
        </row>
        <row r="19">
          <cell r="A19">
            <v>10.119999999999999</v>
          </cell>
          <cell r="C19" t="str">
            <v>01030</v>
          </cell>
          <cell r="D19" t="str">
            <v>26</v>
          </cell>
          <cell r="E19" t="str">
            <v>Agregado pétreo 6-30</v>
          </cell>
          <cell r="F19" t="str">
            <v>Tn</v>
          </cell>
          <cell r="K19">
            <v>0.05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>
            <v>10.130000000000001</v>
          </cell>
          <cell r="C20" t="str">
            <v>01030</v>
          </cell>
          <cell r="D20" t="str">
            <v>30</v>
          </cell>
          <cell r="E20" t="str">
            <v>Agregado pétreo 10-30</v>
          </cell>
          <cell r="F20" t="str">
            <v>Tn</v>
          </cell>
          <cell r="G20">
            <v>20.399999999999999</v>
          </cell>
          <cell r="H20">
            <v>240</v>
          </cell>
          <cell r="I20">
            <v>0.12</v>
          </cell>
          <cell r="K20">
            <v>0.05</v>
          </cell>
          <cell r="L20">
            <v>20.399999999999999</v>
          </cell>
          <cell r="M20">
            <v>28.8</v>
          </cell>
          <cell r="N20">
            <v>0</v>
          </cell>
          <cell r="O20">
            <v>49.2</v>
          </cell>
          <cell r="P20">
            <v>2.46</v>
          </cell>
          <cell r="Q20">
            <v>51.66</v>
          </cell>
        </row>
        <row r="21">
          <cell r="A21">
            <v>10.14</v>
          </cell>
          <cell r="C21" t="str">
            <v>01030</v>
          </cell>
          <cell r="D21" t="str">
            <v>50</v>
          </cell>
          <cell r="E21" t="str">
            <v>Agregado pétreo 30-50</v>
          </cell>
          <cell r="F21" t="str">
            <v>Tn</v>
          </cell>
          <cell r="G21">
            <v>17.3</v>
          </cell>
          <cell r="H21">
            <v>240</v>
          </cell>
          <cell r="I21">
            <v>0.12</v>
          </cell>
          <cell r="K21">
            <v>0.05</v>
          </cell>
          <cell r="L21">
            <v>17.3</v>
          </cell>
          <cell r="M21">
            <v>28.8</v>
          </cell>
          <cell r="N21">
            <v>0</v>
          </cell>
          <cell r="O21">
            <v>46.1</v>
          </cell>
          <cell r="P21">
            <v>2.31</v>
          </cell>
          <cell r="Q21">
            <v>48.41</v>
          </cell>
        </row>
        <row r="22">
          <cell r="A22">
            <v>10.15</v>
          </cell>
          <cell r="C22" t="str">
            <v>01030</v>
          </cell>
          <cell r="D22" t="str">
            <v>60</v>
          </cell>
          <cell r="E22" t="str">
            <v>Agregado pétreo 0-38</v>
          </cell>
          <cell r="F22" t="str">
            <v>Tn</v>
          </cell>
          <cell r="K22">
            <v>0.05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</row>
        <row r="23">
          <cell r="A23">
            <v>10.16</v>
          </cell>
          <cell r="C23" t="str">
            <v>01030</v>
          </cell>
          <cell r="D23" t="str">
            <v>95</v>
          </cell>
          <cell r="E23" t="str">
            <v>Agregado pétreo 0-6 (p/estabilizado)</v>
          </cell>
          <cell r="F23" t="str">
            <v>Tn</v>
          </cell>
          <cell r="G23">
            <v>13</v>
          </cell>
          <cell r="H23">
            <v>226</v>
          </cell>
          <cell r="I23">
            <v>0.12</v>
          </cell>
          <cell r="K23">
            <v>0.08</v>
          </cell>
          <cell r="L23">
            <v>13</v>
          </cell>
          <cell r="M23">
            <v>27.12</v>
          </cell>
          <cell r="N23">
            <v>0</v>
          </cell>
          <cell r="O23">
            <v>40.119999999999997</v>
          </cell>
          <cell r="P23">
            <v>3.21</v>
          </cell>
          <cell r="Q23">
            <v>43.33</v>
          </cell>
        </row>
        <row r="24">
          <cell r="A24">
            <v>10.17</v>
          </cell>
          <cell r="C24" t="str">
            <v>01040</v>
          </cell>
          <cell r="D24" t="str">
            <v>10</v>
          </cell>
          <cell r="E24" t="str">
            <v>Agregado pétreo 6-32 (p/estabilizado)</v>
          </cell>
          <cell r="F24" t="str">
            <v>Tn</v>
          </cell>
          <cell r="G24">
            <v>12</v>
          </cell>
          <cell r="H24">
            <v>226</v>
          </cell>
          <cell r="I24">
            <v>0.12</v>
          </cell>
          <cell r="K24">
            <v>0.08</v>
          </cell>
          <cell r="L24">
            <v>12</v>
          </cell>
          <cell r="M24">
            <v>27.12</v>
          </cell>
          <cell r="N24">
            <v>0</v>
          </cell>
          <cell r="O24">
            <v>39.119999999999997</v>
          </cell>
          <cell r="P24">
            <v>3.13</v>
          </cell>
          <cell r="Q24">
            <v>42.25</v>
          </cell>
        </row>
        <row r="25">
          <cell r="A25">
            <v>10.18</v>
          </cell>
          <cell r="C25" t="str">
            <v>01040</v>
          </cell>
          <cell r="D25" t="str">
            <v>20</v>
          </cell>
          <cell r="E25" t="str">
            <v>Filler calcáreo</v>
          </cell>
          <cell r="F25" t="str">
            <v>Tn</v>
          </cell>
          <cell r="G25">
            <v>99</v>
          </cell>
          <cell r="H25">
            <v>650</v>
          </cell>
          <cell r="I25">
            <v>0.115</v>
          </cell>
          <cell r="K25">
            <v>0.03</v>
          </cell>
          <cell r="L25">
            <v>99</v>
          </cell>
          <cell r="M25">
            <v>74.75</v>
          </cell>
          <cell r="N25">
            <v>0</v>
          </cell>
          <cell r="O25">
            <v>173.75</v>
          </cell>
          <cell r="P25">
            <v>5.21</v>
          </cell>
          <cell r="Q25">
            <v>178.96</v>
          </cell>
        </row>
        <row r="26">
          <cell r="A26">
            <v>10.19</v>
          </cell>
          <cell r="C26" t="str">
            <v>01050</v>
          </cell>
          <cell r="D26" t="str">
            <v>50</v>
          </cell>
          <cell r="E26" t="str">
            <v>Cemento Portland normal (Gr)</v>
          </cell>
          <cell r="F26" t="str">
            <v>Tn</v>
          </cell>
          <cell r="G26">
            <v>227</v>
          </cell>
          <cell r="K26">
            <v>0.03</v>
          </cell>
          <cell r="L26">
            <v>227</v>
          </cell>
          <cell r="M26">
            <v>0</v>
          </cell>
          <cell r="N26">
            <v>0</v>
          </cell>
          <cell r="O26">
            <v>227</v>
          </cell>
          <cell r="P26">
            <v>6.81</v>
          </cell>
          <cell r="Q26">
            <v>233.81</v>
          </cell>
        </row>
        <row r="27">
          <cell r="A27">
            <v>10.199999999999999</v>
          </cell>
          <cell r="C27" t="str">
            <v>01050</v>
          </cell>
          <cell r="D27" t="str">
            <v>52</v>
          </cell>
          <cell r="E27" t="str">
            <v>Cemento Portland normal  (Bs)</v>
          </cell>
          <cell r="F27" t="str">
            <v>Tn</v>
          </cell>
          <cell r="G27">
            <v>235.1</v>
          </cell>
          <cell r="K27">
            <v>0.03</v>
          </cell>
          <cell r="L27">
            <v>235.1</v>
          </cell>
          <cell r="M27">
            <v>0</v>
          </cell>
          <cell r="N27">
            <v>0</v>
          </cell>
          <cell r="O27">
            <v>235.1</v>
          </cell>
          <cell r="P27">
            <v>7.05</v>
          </cell>
          <cell r="Q27">
            <v>242.15</v>
          </cell>
        </row>
        <row r="28">
          <cell r="A28">
            <v>10.210000000000001</v>
          </cell>
          <cell r="C28" t="str">
            <v>01050</v>
          </cell>
          <cell r="D28" t="str">
            <v>60</v>
          </cell>
          <cell r="E28" t="str">
            <v>Cemento Portland blanco (Bs)</v>
          </cell>
          <cell r="F28" t="str">
            <v>Tn</v>
          </cell>
          <cell r="G28">
            <v>281.2</v>
          </cell>
          <cell r="K28">
            <v>0.03</v>
          </cell>
          <cell r="L28">
            <v>281.2</v>
          </cell>
          <cell r="M28">
            <v>0</v>
          </cell>
          <cell r="N28">
            <v>0</v>
          </cell>
          <cell r="O28">
            <v>281.2</v>
          </cell>
          <cell r="P28">
            <v>8.44</v>
          </cell>
          <cell r="Q28">
            <v>289.64</v>
          </cell>
        </row>
        <row r="29">
          <cell r="A29">
            <v>10.220000000000001</v>
          </cell>
          <cell r="C29" t="str">
            <v>01060</v>
          </cell>
          <cell r="D29" t="str">
            <v>04</v>
          </cell>
          <cell r="E29" t="str">
            <v>Hormigón H-4</v>
          </cell>
          <cell r="F29" t="str">
            <v>m³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</row>
        <row r="30">
          <cell r="A30">
            <v>10.23</v>
          </cell>
          <cell r="C30" t="str">
            <v>01060</v>
          </cell>
          <cell r="D30" t="str">
            <v>08</v>
          </cell>
          <cell r="E30" t="str">
            <v>Hormigón H-8</v>
          </cell>
          <cell r="F30" t="str">
            <v>m³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</row>
        <row r="31">
          <cell r="A31">
            <v>10.24</v>
          </cell>
          <cell r="C31" t="str">
            <v>01060</v>
          </cell>
          <cell r="D31" t="str">
            <v>17</v>
          </cell>
          <cell r="E31" t="str">
            <v>Hormigón H-17</v>
          </cell>
          <cell r="F31" t="str">
            <v>m³</v>
          </cell>
          <cell r="K31">
            <v>0.02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</row>
        <row r="32">
          <cell r="A32">
            <v>10.25</v>
          </cell>
          <cell r="C32" t="str">
            <v>01060</v>
          </cell>
          <cell r="D32" t="str">
            <v>21</v>
          </cell>
          <cell r="E32" t="str">
            <v>Hormigón H-21</v>
          </cell>
          <cell r="F32" t="str">
            <v>m³</v>
          </cell>
          <cell r="K32">
            <v>0.02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</row>
        <row r="33">
          <cell r="A33">
            <v>10.26</v>
          </cell>
          <cell r="C33" t="str">
            <v>01060</v>
          </cell>
          <cell r="D33" t="str">
            <v>25</v>
          </cell>
          <cell r="E33" t="str">
            <v>Hormigón H-25</v>
          </cell>
          <cell r="F33" t="str">
            <v>m³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</row>
        <row r="34">
          <cell r="A34">
            <v>10.27</v>
          </cell>
          <cell r="C34" t="str">
            <v>01060</v>
          </cell>
          <cell r="D34" t="str">
            <v>30</v>
          </cell>
          <cell r="E34" t="str">
            <v>Hormigón H-30</v>
          </cell>
          <cell r="F34" t="str">
            <v>m³</v>
          </cell>
          <cell r="K34">
            <v>0.02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</row>
        <row r="35">
          <cell r="A35">
            <v>10.28</v>
          </cell>
          <cell r="C35" t="str">
            <v>01060</v>
          </cell>
          <cell r="D35" t="str">
            <v>30</v>
          </cell>
          <cell r="E35" t="str">
            <v>Canto Rodado</v>
          </cell>
          <cell r="F35" t="str">
            <v>Tn</v>
          </cell>
          <cell r="K35">
            <v>0.05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</row>
        <row r="36">
          <cell r="A36">
            <v>10.29</v>
          </cell>
          <cell r="E36" t="str">
            <v>Ladrillo</v>
          </cell>
          <cell r="F36" t="str">
            <v>Nº</v>
          </cell>
          <cell r="K36">
            <v>0.05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</row>
        <row r="37">
          <cell r="A37">
            <v>10.3</v>
          </cell>
          <cell r="E37" t="str">
            <v>Ripio</v>
          </cell>
          <cell r="F37" t="str">
            <v>m3</v>
          </cell>
          <cell r="K37">
            <v>0.08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</row>
        <row r="38">
          <cell r="A38">
            <v>10.31</v>
          </cell>
          <cell r="E38" t="str">
            <v>Cal hidráulica hidratada</v>
          </cell>
          <cell r="F38" t="str">
            <v>Tn</v>
          </cell>
          <cell r="G38">
            <v>125</v>
          </cell>
          <cell r="H38">
            <v>650</v>
          </cell>
          <cell r="I38">
            <v>0.115</v>
          </cell>
          <cell r="K38">
            <v>0.03</v>
          </cell>
          <cell r="L38">
            <v>125</v>
          </cell>
          <cell r="M38">
            <v>74.75</v>
          </cell>
          <cell r="N38">
            <v>0</v>
          </cell>
          <cell r="O38">
            <v>199.75</v>
          </cell>
          <cell r="P38">
            <v>5.99</v>
          </cell>
          <cell r="Q38">
            <v>205.74</v>
          </cell>
        </row>
        <row r="39">
          <cell r="A39">
            <v>10.32</v>
          </cell>
          <cell r="E39" t="str">
            <v>Agregado pétreo 6-19</v>
          </cell>
          <cell r="F39" t="str">
            <v>Tn</v>
          </cell>
          <cell r="G39">
            <v>19.600000000000001</v>
          </cell>
          <cell r="H39">
            <v>226</v>
          </cell>
          <cell r="I39">
            <v>0.12</v>
          </cell>
          <cell r="K39">
            <v>0.05</v>
          </cell>
          <cell r="L39">
            <v>19.600000000000001</v>
          </cell>
          <cell r="M39">
            <v>27.12</v>
          </cell>
          <cell r="N39">
            <v>0</v>
          </cell>
          <cell r="O39">
            <v>46.72</v>
          </cell>
          <cell r="P39">
            <v>2.34</v>
          </cell>
          <cell r="Q39">
            <v>49.06</v>
          </cell>
        </row>
        <row r="40">
          <cell r="A40">
            <v>10.33</v>
          </cell>
          <cell r="E40" t="str">
            <v>Agregado pétreo 0-6</v>
          </cell>
          <cell r="F40" t="str">
            <v>Tn</v>
          </cell>
          <cell r="G40">
            <v>13</v>
          </cell>
          <cell r="H40">
            <v>226</v>
          </cell>
          <cell r="I40">
            <v>0.12</v>
          </cell>
          <cell r="K40">
            <v>0.08</v>
          </cell>
          <cell r="L40">
            <v>13</v>
          </cell>
          <cell r="M40">
            <v>27.12</v>
          </cell>
          <cell r="N40">
            <v>0</v>
          </cell>
          <cell r="O40">
            <v>40.119999999999997</v>
          </cell>
          <cell r="P40">
            <v>3.21</v>
          </cell>
          <cell r="Q40">
            <v>43.33</v>
          </cell>
        </row>
        <row r="41">
          <cell r="A41">
            <v>10.34</v>
          </cell>
          <cell r="E41" t="str">
            <v>Cemento Portland ARS</v>
          </cell>
          <cell r="F41" t="str">
            <v>Tn</v>
          </cell>
          <cell r="G41">
            <v>281</v>
          </cell>
          <cell r="K41">
            <v>0.03</v>
          </cell>
          <cell r="L41">
            <v>281</v>
          </cell>
          <cell r="M41">
            <v>0</v>
          </cell>
          <cell r="N41">
            <v>0</v>
          </cell>
          <cell r="O41">
            <v>281</v>
          </cell>
          <cell r="P41">
            <v>8.43</v>
          </cell>
          <cell r="Q41">
            <v>289.43</v>
          </cell>
        </row>
        <row r="42">
          <cell r="A42">
            <v>10.35</v>
          </cell>
          <cell r="E42" t="str">
            <v>Lodo Bentonitico</v>
          </cell>
          <cell r="F42" t="str">
            <v>m3</v>
          </cell>
          <cell r="G42">
            <v>65</v>
          </cell>
          <cell r="K42">
            <v>0.05</v>
          </cell>
          <cell r="L42">
            <v>65</v>
          </cell>
          <cell r="M42">
            <v>0</v>
          </cell>
          <cell r="N42">
            <v>0</v>
          </cell>
          <cell r="O42">
            <v>65</v>
          </cell>
          <cell r="P42">
            <v>3.25</v>
          </cell>
          <cell r="Q42">
            <v>68.25</v>
          </cell>
        </row>
        <row r="43">
          <cell r="A43">
            <v>10.36</v>
          </cell>
          <cell r="E43" t="str">
            <v>Agregado pétreo 0-6</v>
          </cell>
          <cell r="F43" t="str">
            <v>Tn</v>
          </cell>
          <cell r="G43">
            <v>13</v>
          </cell>
          <cell r="H43">
            <v>226</v>
          </cell>
          <cell r="I43">
            <v>0.12</v>
          </cell>
          <cell r="K43">
            <v>0.08</v>
          </cell>
          <cell r="L43">
            <v>13</v>
          </cell>
          <cell r="M43">
            <v>27.12</v>
          </cell>
          <cell r="N43">
            <v>0</v>
          </cell>
          <cell r="O43">
            <v>40.119999999999997</v>
          </cell>
          <cell r="P43">
            <v>3.21</v>
          </cell>
          <cell r="Q43">
            <v>43.33</v>
          </cell>
        </row>
        <row r="44">
          <cell r="A44">
            <v>10.37</v>
          </cell>
          <cell r="E44" t="str">
            <v>Agregado pétreo 6-12</v>
          </cell>
          <cell r="F44" t="str">
            <v>Tn</v>
          </cell>
          <cell r="G44">
            <v>26.5</v>
          </cell>
          <cell r="H44">
            <v>226</v>
          </cell>
          <cell r="I44">
            <v>0.12</v>
          </cell>
          <cell r="K44">
            <v>0.05</v>
          </cell>
          <cell r="L44">
            <v>26.5</v>
          </cell>
          <cell r="M44">
            <v>27.12</v>
          </cell>
          <cell r="N44">
            <v>0</v>
          </cell>
          <cell r="O44">
            <v>53.62</v>
          </cell>
          <cell r="P44">
            <v>2.68</v>
          </cell>
          <cell r="Q44">
            <v>56.3</v>
          </cell>
        </row>
        <row r="45">
          <cell r="A45">
            <v>20</v>
          </cell>
          <cell r="B45" t="str">
            <v>COMBUSTIBLES, ASFALTOS</v>
          </cell>
        </row>
        <row r="46">
          <cell r="A46">
            <v>20.010000000000002</v>
          </cell>
          <cell r="C46" t="str">
            <v>01090</v>
          </cell>
          <cell r="D46" t="str">
            <v>010</v>
          </cell>
          <cell r="E46" t="str">
            <v>Cemento asfáltico</v>
          </cell>
          <cell r="F46" t="str">
            <v>Tn</v>
          </cell>
          <cell r="G46">
            <v>954.16</v>
          </cell>
          <cell r="K46">
            <v>0.03</v>
          </cell>
          <cell r="L46">
            <v>954.16</v>
          </cell>
          <cell r="M46">
            <v>0</v>
          </cell>
          <cell r="N46">
            <v>0</v>
          </cell>
          <cell r="O46">
            <v>954.16</v>
          </cell>
          <cell r="P46">
            <v>28.62</v>
          </cell>
          <cell r="Q46">
            <v>982.78</v>
          </cell>
        </row>
        <row r="47">
          <cell r="A47">
            <v>20.02</v>
          </cell>
          <cell r="C47" t="str">
            <v>01090</v>
          </cell>
          <cell r="D47" t="str">
            <v>020</v>
          </cell>
          <cell r="E47" t="str">
            <v>Fuel Oil</v>
          </cell>
          <cell r="F47" t="str">
            <v>Tn</v>
          </cell>
          <cell r="K47">
            <v>0.03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A48">
            <v>20.03</v>
          </cell>
          <cell r="C48" t="str">
            <v>01090</v>
          </cell>
          <cell r="D48" t="str">
            <v>030</v>
          </cell>
          <cell r="E48" t="str">
            <v>Asfalto diluido</v>
          </cell>
          <cell r="F48" t="str">
            <v>Tn</v>
          </cell>
          <cell r="K48">
            <v>0.03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A49">
            <v>20.04</v>
          </cell>
          <cell r="C49" t="str">
            <v>01090</v>
          </cell>
          <cell r="D49" t="str">
            <v>031</v>
          </cell>
          <cell r="E49" t="str">
            <v>Asfalto diluido E.R.1</v>
          </cell>
          <cell r="F49" t="str">
            <v>Tn</v>
          </cell>
          <cell r="K49">
            <v>0.03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</row>
        <row r="50">
          <cell r="A50">
            <v>20.05</v>
          </cell>
          <cell r="C50" t="str">
            <v>01090</v>
          </cell>
          <cell r="D50" t="str">
            <v>040</v>
          </cell>
          <cell r="E50" t="str">
            <v>Gas Oil</v>
          </cell>
          <cell r="F50" t="str">
            <v>Lt</v>
          </cell>
          <cell r="G50">
            <v>1.28</v>
          </cell>
          <cell r="K50">
            <v>0.02</v>
          </cell>
          <cell r="L50">
            <v>1.28</v>
          </cell>
          <cell r="M50">
            <v>0</v>
          </cell>
          <cell r="N50">
            <v>0</v>
          </cell>
          <cell r="O50">
            <v>1.28</v>
          </cell>
          <cell r="P50">
            <v>0.03</v>
          </cell>
          <cell r="Q50">
            <v>1.31</v>
          </cell>
        </row>
        <row r="51">
          <cell r="A51">
            <v>20.059999999999999</v>
          </cell>
          <cell r="C51" t="str">
            <v>01090</v>
          </cell>
          <cell r="D51" t="str">
            <v>060</v>
          </cell>
          <cell r="E51" t="str">
            <v>Mezcla 70-30</v>
          </cell>
          <cell r="F51" t="str">
            <v>Tn</v>
          </cell>
          <cell r="G51">
            <v>918.61</v>
          </cell>
          <cell r="K51">
            <v>0.03</v>
          </cell>
          <cell r="L51">
            <v>918.61</v>
          </cell>
          <cell r="M51">
            <v>0</v>
          </cell>
          <cell r="N51">
            <v>0</v>
          </cell>
          <cell r="O51">
            <v>918.61</v>
          </cell>
          <cell r="P51">
            <v>27.56</v>
          </cell>
          <cell r="Q51">
            <v>946.17</v>
          </cell>
        </row>
        <row r="52">
          <cell r="A52">
            <v>20.07</v>
          </cell>
          <cell r="C52" t="str">
            <v>01090</v>
          </cell>
          <cell r="D52" t="str">
            <v>062</v>
          </cell>
          <cell r="E52" t="str">
            <v>Material bituminoso premezclado</v>
          </cell>
          <cell r="F52" t="str">
            <v>Tn</v>
          </cell>
          <cell r="K52">
            <v>0.03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</row>
        <row r="53">
          <cell r="A53">
            <v>20.079999999999998</v>
          </cell>
          <cell r="E53" t="str">
            <v>Junta de polímero asfáltico a:0.50 m e:60-90 mm</v>
          </cell>
          <cell r="F53" t="str">
            <v>m</v>
          </cell>
          <cell r="K53">
            <v>0.03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</row>
        <row r="54">
          <cell r="A54">
            <v>20.09</v>
          </cell>
          <cell r="E54" t="str">
            <v>Emulsión asfaltica imprimación EBCI</v>
          </cell>
          <cell r="F54" t="str">
            <v>Tn</v>
          </cell>
          <cell r="G54">
            <v>931</v>
          </cell>
          <cell r="K54">
            <v>0.03</v>
          </cell>
          <cell r="L54">
            <v>931</v>
          </cell>
          <cell r="M54">
            <v>0</v>
          </cell>
          <cell r="N54">
            <v>0</v>
          </cell>
          <cell r="O54">
            <v>931</v>
          </cell>
          <cell r="P54">
            <v>27.93</v>
          </cell>
          <cell r="Q54">
            <v>958.93</v>
          </cell>
        </row>
        <row r="55">
          <cell r="A55">
            <v>20.100000000000001</v>
          </cell>
          <cell r="E55" t="str">
            <v>Emulsión asfaltica rotura rapida EBCR-0</v>
          </cell>
          <cell r="F55" t="str">
            <v>Tn</v>
          </cell>
          <cell r="G55">
            <v>821</v>
          </cell>
          <cell r="K55">
            <v>0.03</v>
          </cell>
          <cell r="L55">
            <v>821</v>
          </cell>
          <cell r="M55">
            <v>0</v>
          </cell>
          <cell r="N55">
            <v>0</v>
          </cell>
          <cell r="O55">
            <v>821</v>
          </cell>
          <cell r="P55">
            <v>24.63</v>
          </cell>
          <cell r="Q55">
            <v>845.63</v>
          </cell>
        </row>
        <row r="56">
          <cell r="A56">
            <v>20.11</v>
          </cell>
          <cell r="E56" t="str">
            <v>Emulsión asfáltica EBCR-M  modificada c/polimeros</v>
          </cell>
          <cell r="F56" t="str">
            <v>Tn</v>
          </cell>
          <cell r="G56">
            <v>1021</v>
          </cell>
          <cell r="K56">
            <v>0.03</v>
          </cell>
          <cell r="L56">
            <v>1021</v>
          </cell>
          <cell r="M56">
            <v>0</v>
          </cell>
          <cell r="N56">
            <v>0</v>
          </cell>
          <cell r="O56">
            <v>1021</v>
          </cell>
          <cell r="P56">
            <v>30.63</v>
          </cell>
          <cell r="Q56">
            <v>1051.6300000000001</v>
          </cell>
        </row>
        <row r="57">
          <cell r="A57">
            <v>20.12</v>
          </cell>
          <cell r="E57" t="str">
            <v>Asfalto modificado c/polímeros AM 3</v>
          </cell>
          <cell r="F57" t="str">
            <v>Tn</v>
          </cell>
          <cell r="G57">
            <v>1200</v>
          </cell>
          <cell r="K57">
            <v>0.03</v>
          </cell>
          <cell r="L57">
            <v>1200</v>
          </cell>
          <cell r="M57">
            <v>0</v>
          </cell>
          <cell r="N57">
            <v>0</v>
          </cell>
          <cell r="O57">
            <v>1200</v>
          </cell>
          <cell r="P57">
            <v>36</v>
          </cell>
          <cell r="Q57">
            <v>1236</v>
          </cell>
        </row>
        <row r="58">
          <cell r="A58">
            <v>30</v>
          </cell>
          <cell r="B58" t="str">
            <v>ACEROS, HIERROS Y OTROS METALES</v>
          </cell>
        </row>
        <row r="59">
          <cell r="A59">
            <v>30.01</v>
          </cell>
          <cell r="C59" t="str">
            <v>03010</v>
          </cell>
          <cell r="D59" t="str">
            <v>100</v>
          </cell>
          <cell r="E59" t="str">
            <v>Pasadores ø 32 mm (acero tipo I)</v>
          </cell>
          <cell r="F59" t="str">
            <v>Tn</v>
          </cell>
          <cell r="G59">
            <v>3250</v>
          </cell>
          <cell r="K59">
            <v>0.02</v>
          </cell>
          <cell r="L59">
            <v>3250</v>
          </cell>
          <cell r="M59">
            <v>0</v>
          </cell>
          <cell r="N59">
            <v>0</v>
          </cell>
          <cell r="O59">
            <v>3250</v>
          </cell>
          <cell r="P59">
            <v>65</v>
          </cell>
          <cell r="Q59">
            <v>3315</v>
          </cell>
        </row>
        <row r="60">
          <cell r="A60">
            <v>30.02</v>
          </cell>
          <cell r="C60" t="str">
            <v>03010</v>
          </cell>
          <cell r="D60" t="str">
            <v>105</v>
          </cell>
          <cell r="E60" t="str">
            <v>Acero tipo III</v>
          </cell>
          <cell r="F60" t="str">
            <v>Tn</v>
          </cell>
          <cell r="G60">
            <v>1764.3</v>
          </cell>
          <cell r="K60">
            <v>0.1</v>
          </cell>
          <cell r="L60">
            <v>1764.3</v>
          </cell>
          <cell r="M60">
            <v>0</v>
          </cell>
          <cell r="N60">
            <v>0</v>
          </cell>
          <cell r="O60">
            <v>1764.3</v>
          </cell>
          <cell r="P60">
            <v>176.43</v>
          </cell>
          <cell r="Q60">
            <v>1940.73</v>
          </cell>
        </row>
        <row r="61">
          <cell r="A61">
            <v>30.03</v>
          </cell>
          <cell r="C61" t="str">
            <v>03010</v>
          </cell>
          <cell r="D61" t="str">
            <v>110</v>
          </cell>
          <cell r="E61" t="str">
            <v>Acero p/ pretensado (incl. accesorios)</v>
          </cell>
          <cell r="F61" t="str">
            <v>Tn</v>
          </cell>
          <cell r="G61">
            <v>4850</v>
          </cell>
          <cell r="K61">
            <v>0.03</v>
          </cell>
          <cell r="L61">
            <v>4850</v>
          </cell>
          <cell r="M61">
            <v>0</v>
          </cell>
          <cell r="N61">
            <v>0</v>
          </cell>
          <cell r="O61">
            <v>4850</v>
          </cell>
          <cell r="P61">
            <v>145.5</v>
          </cell>
          <cell r="Q61">
            <v>4995.5</v>
          </cell>
        </row>
        <row r="62">
          <cell r="A62">
            <v>30.04</v>
          </cell>
          <cell r="C62" t="str">
            <v>03010</v>
          </cell>
          <cell r="D62" t="str">
            <v>110.1</v>
          </cell>
          <cell r="E62" t="str">
            <v>Accesorios p/ pretensado</v>
          </cell>
          <cell r="F62" t="str">
            <v>Kg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</row>
        <row r="63">
          <cell r="A63">
            <v>30.05</v>
          </cell>
          <cell r="C63" t="str">
            <v>03020</v>
          </cell>
          <cell r="D63" t="str">
            <v>10</v>
          </cell>
          <cell r="E63" t="str">
            <v>Perfil acero</v>
          </cell>
          <cell r="F63" t="str">
            <v>Kg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A64">
            <v>30.06</v>
          </cell>
          <cell r="C64" t="str">
            <v>03030</v>
          </cell>
          <cell r="D64" t="str">
            <v>100</v>
          </cell>
          <cell r="E64" t="str">
            <v>Camisa metálica e: ¼", ø 1200 mm, L: 27 m</v>
          </cell>
          <cell r="F64" t="str">
            <v>Kg</v>
          </cell>
          <cell r="G64">
            <v>2.36</v>
          </cell>
          <cell r="K64">
            <v>0</v>
          </cell>
          <cell r="L64">
            <v>2.36</v>
          </cell>
          <cell r="M64">
            <v>0</v>
          </cell>
          <cell r="N64">
            <v>0</v>
          </cell>
          <cell r="O64">
            <v>2.36</v>
          </cell>
          <cell r="P64">
            <v>0</v>
          </cell>
          <cell r="Q64">
            <v>2.36</v>
          </cell>
        </row>
        <row r="65">
          <cell r="A65">
            <v>30.07</v>
          </cell>
          <cell r="C65" t="str">
            <v>03030</v>
          </cell>
          <cell r="D65" t="str">
            <v>102</v>
          </cell>
          <cell r="E65" t="str">
            <v>Gavión</v>
          </cell>
          <cell r="F65" t="str">
            <v>m³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</row>
        <row r="66">
          <cell r="A66">
            <v>30.08</v>
          </cell>
          <cell r="C66" t="str">
            <v>03030</v>
          </cell>
          <cell r="D66" t="str">
            <v>210</v>
          </cell>
          <cell r="E66" t="str">
            <v>Gavión 4.0 x 1.0 x 1.0</v>
          </cell>
          <cell r="F66" t="str">
            <v>Nº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A67">
            <v>30.09</v>
          </cell>
          <cell r="C67" t="str">
            <v>03030</v>
          </cell>
          <cell r="D67" t="str">
            <v>212</v>
          </cell>
          <cell r="E67" t="str">
            <v>Gavión 4.0 x 1.5 x 1.0</v>
          </cell>
          <cell r="F67" t="str">
            <v>Nº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A68">
            <v>30.1</v>
          </cell>
          <cell r="C68" t="str">
            <v>03030</v>
          </cell>
          <cell r="D68" t="str">
            <v>214</v>
          </cell>
          <cell r="E68" t="str">
            <v>Gavión 4.0 x 1.0 x 1.0</v>
          </cell>
          <cell r="F68" t="str">
            <v>Nº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</row>
        <row r="69">
          <cell r="A69">
            <v>30.11</v>
          </cell>
          <cell r="C69" t="str">
            <v>03030</v>
          </cell>
          <cell r="D69" t="str">
            <v>216</v>
          </cell>
          <cell r="E69" t="str">
            <v>Gavión 4.0 x 1.5 x 1.0</v>
          </cell>
          <cell r="F69" t="str">
            <v>Nº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</row>
        <row r="70">
          <cell r="A70">
            <v>30.12</v>
          </cell>
          <cell r="C70" t="str">
            <v>03030</v>
          </cell>
          <cell r="D70" t="str">
            <v>500</v>
          </cell>
          <cell r="E70" t="str">
            <v>Colchoneta</v>
          </cell>
          <cell r="F70" t="str">
            <v>m²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1">
          <cell r="A71">
            <v>30.13</v>
          </cell>
          <cell r="C71" t="str">
            <v>03030</v>
          </cell>
          <cell r="D71" t="str">
            <v>502</v>
          </cell>
          <cell r="E71" t="str">
            <v>Colchoneta</v>
          </cell>
          <cell r="F71" t="str">
            <v>m²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</row>
        <row r="72">
          <cell r="A72">
            <v>30.14</v>
          </cell>
          <cell r="C72" t="str">
            <v>03030</v>
          </cell>
          <cell r="D72" t="str">
            <v>510</v>
          </cell>
          <cell r="E72" t="str">
            <v>Colchoneta 5.0 x 2.0 x 0.17</v>
          </cell>
          <cell r="F72" t="str">
            <v>Nº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</row>
        <row r="73">
          <cell r="A73">
            <v>30.15</v>
          </cell>
          <cell r="C73" t="str">
            <v>03030</v>
          </cell>
          <cell r="D73" t="str">
            <v>600</v>
          </cell>
          <cell r="E73" t="str">
            <v>Colchoneta 4.0 x 2.0 x 0.17</v>
          </cell>
          <cell r="F73" t="str">
            <v>Nº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</row>
        <row r="74">
          <cell r="A74">
            <v>30.16</v>
          </cell>
          <cell r="C74" t="str">
            <v>03030</v>
          </cell>
          <cell r="D74" t="str">
            <v>602</v>
          </cell>
          <cell r="E74" t="str">
            <v>Colchoneta 4.0 x 2.0 x 0.30</v>
          </cell>
          <cell r="F74" t="str">
            <v>Nº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</row>
        <row r="75">
          <cell r="A75">
            <v>30.17</v>
          </cell>
          <cell r="C75" t="str">
            <v>03030</v>
          </cell>
          <cell r="D75" t="str">
            <v>800</v>
          </cell>
          <cell r="E75" t="str">
            <v>Malla soldada cuadricula cuadrada</v>
          </cell>
          <cell r="F75" t="str">
            <v>Tn</v>
          </cell>
          <cell r="G75">
            <v>2010</v>
          </cell>
          <cell r="K75">
            <v>0.03</v>
          </cell>
          <cell r="L75">
            <v>2010</v>
          </cell>
          <cell r="M75">
            <v>0</v>
          </cell>
          <cell r="N75">
            <v>0</v>
          </cell>
          <cell r="O75">
            <v>2010</v>
          </cell>
          <cell r="P75">
            <v>60.3</v>
          </cell>
          <cell r="Q75">
            <v>2070.3000000000002</v>
          </cell>
        </row>
        <row r="76">
          <cell r="A76">
            <v>30.18</v>
          </cell>
          <cell r="C76" t="str">
            <v>03030</v>
          </cell>
          <cell r="D76" t="str">
            <v>802</v>
          </cell>
          <cell r="E76" t="str">
            <v>Malla Q188 ( ø 6 c/ 15 cm )</v>
          </cell>
          <cell r="F76" t="str">
            <v>Tn</v>
          </cell>
          <cell r="G76">
            <v>2061.38</v>
          </cell>
          <cell r="K76">
            <v>0.1</v>
          </cell>
          <cell r="L76">
            <v>2061.38</v>
          </cell>
          <cell r="M76">
            <v>0</v>
          </cell>
          <cell r="N76">
            <v>0</v>
          </cell>
          <cell r="O76">
            <v>2061.38</v>
          </cell>
          <cell r="P76">
            <v>206.14</v>
          </cell>
          <cell r="Q76">
            <v>2267.52</v>
          </cell>
        </row>
        <row r="77">
          <cell r="A77">
            <v>30.19</v>
          </cell>
          <cell r="C77" t="str">
            <v>03030</v>
          </cell>
          <cell r="D77" t="str">
            <v>850</v>
          </cell>
          <cell r="E77" t="str">
            <v>Malla Q 388</v>
          </cell>
          <cell r="F77" t="str">
            <v>Tn</v>
          </cell>
          <cell r="G77">
            <v>2070</v>
          </cell>
          <cell r="K77">
            <v>0.1</v>
          </cell>
          <cell r="L77">
            <v>2070</v>
          </cell>
          <cell r="M77">
            <v>0</v>
          </cell>
          <cell r="N77">
            <v>0</v>
          </cell>
          <cell r="O77">
            <v>2070</v>
          </cell>
          <cell r="P77">
            <v>207</v>
          </cell>
          <cell r="Q77">
            <v>2277</v>
          </cell>
        </row>
        <row r="78">
          <cell r="A78">
            <v>30.2</v>
          </cell>
          <cell r="C78" t="str">
            <v>03030</v>
          </cell>
          <cell r="D78" t="str">
            <v>851</v>
          </cell>
          <cell r="E78" t="str">
            <v>Malla ø 8, 15 cm x 20 cm</v>
          </cell>
          <cell r="F78" t="str">
            <v>Tn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</row>
        <row r="79">
          <cell r="A79">
            <v>30.21</v>
          </cell>
          <cell r="C79" t="str">
            <v>03030</v>
          </cell>
          <cell r="D79">
            <v>852</v>
          </cell>
          <cell r="E79" t="str">
            <v>Clavos punta París 2"</v>
          </cell>
          <cell r="F79" t="str">
            <v>Kg</v>
          </cell>
          <cell r="G79">
            <v>2.67</v>
          </cell>
          <cell r="K79">
            <v>0.1</v>
          </cell>
          <cell r="L79">
            <v>2.67</v>
          </cell>
          <cell r="M79">
            <v>0</v>
          </cell>
          <cell r="N79">
            <v>0</v>
          </cell>
          <cell r="O79">
            <v>2.67</v>
          </cell>
          <cell r="P79">
            <v>0.27</v>
          </cell>
          <cell r="Q79">
            <v>2.94</v>
          </cell>
        </row>
        <row r="80">
          <cell r="A80">
            <v>30.22</v>
          </cell>
          <cell r="C80" t="str">
            <v>03040</v>
          </cell>
          <cell r="D80" t="str">
            <v>04</v>
          </cell>
          <cell r="E80" t="str">
            <v>Caño acero al carbono D: 4"</v>
          </cell>
          <cell r="F80" t="str">
            <v>m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</row>
        <row r="81">
          <cell r="A81">
            <v>30.23</v>
          </cell>
          <cell r="C81" t="str">
            <v>03040</v>
          </cell>
          <cell r="D81" t="str">
            <v>08</v>
          </cell>
          <cell r="E81" t="str">
            <v>Caño acero al carbono D: 8"</v>
          </cell>
          <cell r="F81" t="str">
            <v>m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</row>
        <row r="82">
          <cell r="A82">
            <v>30.24</v>
          </cell>
          <cell r="C82" t="str">
            <v>03040</v>
          </cell>
          <cell r="D82" t="str">
            <v>10</v>
          </cell>
          <cell r="E82" t="str">
            <v>Caño acero al carbono D: 10"</v>
          </cell>
          <cell r="F82" t="str">
            <v>m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</row>
        <row r="83">
          <cell r="A83">
            <v>30.25</v>
          </cell>
          <cell r="C83" t="str">
            <v>03040</v>
          </cell>
          <cell r="D83" t="str">
            <v>12</v>
          </cell>
          <cell r="E83" t="str">
            <v>Caño acero al carbono D: 12"</v>
          </cell>
          <cell r="F83" t="str">
            <v>m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</row>
        <row r="84">
          <cell r="A84">
            <v>30.26</v>
          </cell>
          <cell r="C84" t="str">
            <v>03040</v>
          </cell>
          <cell r="D84" t="str">
            <v>80</v>
          </cell>
          <cell r="E84" t="str">
            <v>Caño HoGo D: 2"</v>
          </cell>
          <cell r="F84" t="str">
            <v>m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</row>
        <row r="85">
          <cell r="A85">
            <v>30.2699999999999</v>
          </cell>
          <cell r="C85" t="str">
            <v>03040</v>
          </cell>
          <cell r="D85" t="str">
            <v>82</v>
          </cell>
          <cell r="E85" t="str">
            <v>Caño HoGo D: 3"</v>
          </cell>
          <cell r="F85" t="str">
            <v>m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A86">
            <v>30.279999999999902</v>
          </cell>
          <cell r="C86" t="str">
            <v>03080</v>
          </cell>
          <cell r="D86" t="str">
            <v>100</v>
          </cell>
          <cell r="E86" t="str">
            <v>Alambre galv. AR Nº 17/15</v>
          </cell>
          <cell r="F86" t="str">
            <v>Ro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A87">
            <v>30.2899999999999</v>
          </cell>
          <cell r="C87" t="str">
            <v>03080</v>
          </cell>
          <cell r="D87" t="str">
            <v>102</v>
          </cell>
          <cell r="E87" t="str">
            <v>Alambre galvanizado AR Nº 16/14</v>
          </cell>
          <cell r="F87" t="str">
            <v>Ro</v>
          </cell>
          <cell r="G87">
            <v>135</v>
          </cell>
          <cell r="H87">
            <v>565</v>
          </cell>
          <cell r="I87">
            <v>5.0000000000000001E-3</v>
          </cell>
          <cell r="K87">
            <v>0.1</v>
          </cell>
          <cell r="L87">
            <v>135</v>
          </cell>
          <cell r="M87">
            <v>2.83</v>
          </cell>
          <cell r="N87">
            <v>0</v>
          </cell>
          <cell r="O87">
            <v>137.83000000000001</v>
          </cell>
          <cell r="P87">
            <v>13.78</v>
          </cell>
          <cell r="Q87">
            <v>151.61000000000001</v>
          </cell>
        </row>
        <row r="88">
          <cell r="A88">
            <v>30.299999999999901</v>
          </cell>
          <cell r="C88" t="str">
            <v>03080</v>
          </cell>
          <cell r="D88" t="str">
            <v>104</v>
          </cell>
          <cell r="E88" t="str">
            <v>Alambre de púas Nº 15/101</v>
          </cell>
          <cell r="F88" t="str">
            <v>Ro</v>
          </cell>
          <cell r="G88">
            <v>118</v>
          </cell>
          <cell r="H88">
            <v>565</v>
          </cell>
          <cell r="I88">
            <v>5.0000000000000001E-3</v>
          </cell>
          <cell r="K88">
            <v>0.1</v>
          </cell>
          <cell r="L88">
            <v>118</v>
          </cell>
          <cell r="M88">
            <v>2.83</v>
          </cell>
          <cell r="N88">
            <v>0</v>
          </cell>
          <cell r="O88">
            <v>120.83</v>
          </cell>
          <cell r="P88">
            <v>12.08</v>
          </cell>
          <cell r="Q88">
            <v>132.91</v>
          </cell>
        </row>
        <row r="89">
          <cell r="A89">
            <v>30.309999999999899</v>
          </cell>
          <cell r="C89" t="str">
            <v>03080</v>
          </cell>
          <cell r="D89" t="str">
            <v>106</v>
          </cell>
          <cell r="E89" t="str">
            <v>Alambre galvanizado liso Nº 11</v>
          </cell>
          <cell r="F89" t="str">
            <v>Kg</v>
          </cell>
          <cell r="G89">
            <v>3.4</v>
          </cell>
          <cell r="K89">
            <v>0.1</v>
          </cell>
          <cell r="L89">
            <v>3.4</v>
          </cell>
          <cell r="M89">
            <v>0</v>
          </cell>
          <cell r="N89">
            <v>0</v>
          </cell>
          <cell r="O89">
            <v>3.4</v>
          </cell>
          <cell r="P89">
            <v>0.34</v>
          </cell>
          <cell r="Q89">
            <v>3.74</v>
          </cell>
        </row>
        <row r="90">
          <cell r="A90">
            <v>30.319999999999901</v>
          </cell>
          <cell r="C90" t="str">
            <v>03080</v>
          </cell>
          <cell r="D90" t="str">
            <v>110</v>
          </cell>
          <cell r="E90" t="str">
            <v>Alambre recocido Nº 17</v>
          </cell>
          <cell r="F90" t="str">
            <v>Kg</v>
          </cell>
          <cell r="G90">
            <v>2.8</v>
          </cell>
          <cell r="K90">
            <v>0.1</v>
          </cell>
          <cell r="L90">
            <v>2.8</v>
          </cell>
          <cell r="M90">
            <v>0</v>
          </cell>
          <cell r="N90">
            <v>0</v>
          </cell>
          <cell r="O90">
            <v>2.8</v>
          </cell>
          <cell r="P90">
            <v>0.28000000000000003</v>
          </cell>
          <cell r="Q90">
            <v>3.08</v>
          </cell>
        </row>
        <row r="91">
          <cell r="A91">
            <v>30.329999999999899</v>
          </cell>
          <cell r="C91" t="str">
            <v>03080</v>
          </cell>
          <cell r="D91">
            <v>115</v>
          </cell>
          <cell r="E91" t="str">
            <v>Alambre tejido</v>
          </cell>
          <cell r="F91" t="str">
            <v>m²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A92">
            <v>30.3399999999999</v>
          </cell>
          <cell r="C92" t="str">
            <v>03090</v>
          </cell>
          <cell r="D92" t="str">
            <v>10</v>
          </cell>
          <cell r="E92" t="str">
            <v>Chapa de aluminio</v>
          </cell>
          <cell r="F92" t="str">
            <v>m²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3">
          <cell r="A93">
            <v>30.349999999999898</v>
          </cell>
          <cell r="C93" t="str">
            <v>03090</v>
          </cell>
          <cell r="D93" t="str">
            <v>20</v>
          </cell>
          <cell r="E93" t="str">
            <v>Chapa galvanizada e: 1.25 mm</v>
          </cell>
          <cell r="F93" t="str">
            <v>m²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</row>
        <row r="94">
          <cell r="A94">
            <v>30.3799999999999</v>
          </cell>
          <cell r="C94" t="str">
            <v>03190</v>
          </cell>
          <cell r="D94" t="str">
            <v>2.5/1.00</v>
          </cell>
          <cell r="E94" t="str">
            <v>Caño HC 68 e:1,6 mm D:0.60m</v>
          </cell>
          <cell r="F94" t="str">
            <v>m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</row>
        <row r="95">
          <cell r="A95">
            <v>30.389999999999901</v>
          </cell>
          <cell r="C95" t="str">
            <v>03190</v>
          </cell>
          <cell r="D95" t="str">
            <v>3.2/1.00</v>
          </cell>
          <cell r="E95" t="str">
            <v>Caño HC 68 e:1,6 mm D:1.00m</v>
          </cell>
          <cell r="F95" t="str">
            <v>m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</row>
        <row r="96">
          <cell r="A96">
            <v>30.399999999999899</v>
          </cell>
          <cell r="C96" t="str">
            <v>03190</v>
          </cell>
          <cell r="D96" t="str">
            <v>3.2/1.20</v>
          </cell>
          <cell r="E96" t="str">
            <v>Caño HoGo MP 68 e:3.2 mm D:1.20m</v>
          </cell>
          <cell r="F96" t="str">
            <v>m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</row>
        <row r="97">
          <cell r="A97">
            <v>30.409999999999901</v>
          </cell>
          <cell r="C97" t="str">
            <v>03190</v>
          </cell>
          <cell r="D97" t="str">
            <v>1.6/0.60</v>
          </cell>
          <cell r="E97" t="str">
            <v>Caño HoGo MP 100 e:1.6 mm D:0.60m</v>
          </cell>
          <cell r="F97" t="str">
            <v>m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</row>
        <row r="98">
          <cell r="A98">
            <v>30.419999999999899</v>
          </cell>
          <cell r="C98" t="str">
            <v>03190</v>
          </cell>
          <cell r="D98" t="str">
            <v>1.6/0.80</v>
          </cell>
          <cell r="E98" t="str">
            <v>Caño HoGo MP 100 e:1.6 mm D:0.80m</v>
          </cell>
          <cell r="F98" t="str">
            <v>m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</row>
        <row r="99">
          <cell r="A99">
            <v>30.4299999999999</v>
          </cell>
          <cell r="C99" t="str">
            <v>03190</v>
          </cell>
          <cell r="D99" t="str">
            <v>1.6/1.00</v>
          </cell>
          <cell r="E99" t="str">
            <v>Caño HoGo MP 100 e:1.6 mm D:1.00m</v>
          </cell>
          <cell r="F99" t="str">
            <v>m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</row>
        <row r="100">
          <cell r="A100">
            <v>30.439999999999898</v>
          </cell>
          <cell r="C100" t="str">
            <v>03190</v>
          </cell>
          <cell r="D100" t="str">
            <v>1.6/1.20</v>
          </cell>
          <cell r="E100" t="str">
            <v>Caño HoGo MP 100 e:1.6 mm D:1.20m</v>
          </cell>
          <cell r="F100" t="str">
            <v>m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</row>
        <row r="101">
          <cell r="A101">
            <v>30.4499999999999</v>
          </cell>
          <cell r="C101" t="str">
            <v>03190</v>
          </cell>
          <cell r="D101" t="str">
            <v>2.0/0.50</v>
          </cell>
          <cell r="E101" t="str">
            <v>Caño HoGo MP 100 e:2.0 mm D:0.60m</v>
          </cell>
          <cell r="F101" t="str">
            <v>m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</row>
        <row r="102">
          <cell r="A102">
            <v>30.459999999999901</v>
          </cell>
          <cell r="C102" t="str">
            <v>03190</v>
          </cell>
          <cell r="D102" t="str">
            <v>2.0/1.70</v>
          </cell>
          <cell r="E102" t="str">
            <v>Caño HoGo MP 100 e:2.0 mm D:0.80m</v>
          </cell>
          <cell r="F102" t="str">
            <v>m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</row>
        <row r="103">
          <cell r="A103">
            <v>30.469999999999899</v>
          </cell>
          <cell r="C103" t="str">
            <v>03190</v>
          </cell>
          <cell r="D103" t="str">
            <v>2.5/0.60</v>
          </cell>
          <cell r="E103" t="str">
            <v>Caño HoGo MP 100 e:2.0 mm D:1.00m</v>
          </cell>
          <cell r="F103" t="str">
            <v>m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</row>
        <row r="104">
          <cell r="A104">
            <v>30.479999999999901</v>
          </cell>
          <cell r="C104" t="str">
            <v>03190</v>
          </cell>
          <cell r="D104" t="str">
            <v>2.5/0.80</v>
          </cell>
          <cell r="E104" t="str">
            <v>Caño HoGo MP 100 e:2.0 mm D:1.20m</v>
          </cell>
          <cell r="F104" t="str">
            <v>m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</row>
        <row r="105">
          <cell r="A105">
            <v>30.489999999999899</v>
          </cell>
          <cell r="C105" t="str">
            <v>03190</v>
          </cell>
          <cell r="D105" t="str">
            <v>2.5/0.90</v>
          </cell>
          <cell r="E105" t="str">
            <v>Caño HoGo MP 100 e:2.0 mm D:1.40m</v>
          </cell>
          <cell r="F105" t="str">
            <v>m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</row>
        <row r="106">
          <cell r="A106">
            <v>30.499999999999901</v>
          </cell>
          <cell r="C106" t="str">
            <v>03190</v>
          </cell>
          <cell r="D106" t="str">
            <v>2.5/1.00</v>
          </cell>
          <cell r="E106" t="str">
            <v>Caño HoGo MP 100 e:2.0 mm D:1.50m</v>
          </cell>
          <cell r="F106" t="str">
            <v>m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</row>
        <row r="107">
          <cell r="A107">
            <v>30.509999999999899</v>
          </cell>
          <cell r="C107" t="str">
            <v>03190</v>
          </cell>
          <cell r="D107" t="str">
            <v>2.5/1.20</v>
          </cell>
          <cell r="E107" t="str">
            <v>Caño HoGo MP 100 e:2.5 mm D:1.20m</v>
          </cell>
          <cell r="F107" t="str">
            <v>m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</row>
        <row r="108">
          <cell r="A108">
            <v>30.5199999999999</v>
          </cell>
          <cell r="C108" t="str">
            <v>03190</v>
          </cell>
          <cell r="D108" t="str">
            <v>3.2/1.50</v>
          </cell>
          <cell r="E108" t="str">
            <v>Caño HoGo MP 100 e:3.2 mm D:1.50m</v>
          </cell>
          <cell r="F108" t="str">
            <v>m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A109">
            <v>30.529999999999902</v>
          </cell>
          <cell r="C109" t="str">
            <v>03190</v>
          </cell>
          <cell r="D109" t="str">
            <v>HC68/0.50</v>
          </cell>
          <cell r="E109" t="str">
            <v>Caño HoGo HC68 e:1.6 mm D:0.60m</v>
          </cell>
          <cell r="F109" t="str">
            <v>m</v>
          </cell>
          <cell r="G109">
            <v>120</v>
          </cell>
          <cell r="L109">
            <v>120</v>
          </cell>
          <cell r="M109">
            <v>0</v>
          </cell>
          <cell r="N109">
            <v>0</v>
          </cell>
          <cell r="O109">
            <v>120</v>
          </cell>
          <cell r="P109">
            <v>0</v>
          </cell>
          <cell r="Q109">
            <v>120</v>
          </cell>
        </row>
        <row r="110">
          <cell r="A110">
            <v>30.5399999999999</v>
          </cell>
          <cell r="C110" t="str">
            <v>03190</v>
          </cell>
          <cell r="D110" t="str">
            <v>HC68/1.00</v>
          </cell>
          <cell r="E110" t="str">
            <v>Caño Ond.Helic. e:1.6 mm D:1.00m</v>
          </cell>
          <cell r="F110" t="str">
            <v>m</v>
          </cell>
          <cell r="H110">
            <v>1450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</row>
        <row r="111">
          <cell r="A111">
            <v>30.549999999999901</v>
          </cell>
          <cell r="C111" t="str">
            <v>03190</v>
          </cell>
          <cell r="D111" t="str">
            <v>HC68/1.20</v>
          </cell>
          <cell r="E111" t="str">
            <v>Caño Ond.Helic. e:1.6 mm D:1.20m</v>
          </cell>
          <cell r="F111" t="str">
            <v>m</v>
          </cell>
          <cell r="H111">
            <v>1450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</row>
        <row r="112">
          <cell r="A112">
            <v>30.559999999999899</v>
          </cell>
          <cell r="C112" t="str">
            <v>03190</v>
          </cell>
          <cell r="D112" t="str">
            <v>HC68/1.50</v>
          </cell>
          <cell r="E112" t="str">
            <v>Caño chapa galvanizada</v>
          </cell>
          <cell r="F112" t="str">
            <v>Kg</v>
          </cell>
          <cell r="G112">
            <v>4.2</v>
          </cell>
          <cell r="L112">
            <v>4.2</v>
          </cell>
          <cell r="M112">
            <v>0</v>
          </cell>
          <cell r="N112">
            <v>0</v>
          </cell>
          <cell r="O112">
            <v>4.2</v>
          </cell>
          <cell r="P112">
            <v>0</v>
          </cell>
          <cell r="Q112">
            <v>4.2</v>
          </cell>
        </row>
        <row r="113">
          <cell r="A113">
            <v>30.569999999999901</v>
          </cell>
          <cell r="C113" t="str">
            <v>01111</v>
          </cell>
          <cell r="D113">
            <v>35</v>
          </cell>
          <cell r="E113" t="str">
            <v>Cartel p/ señalización</v>
          </cell>
          <cell r="F113" t="str">
            <v>m²</v>
          </cell>
          <cell r="G113">
            <v>580</v>
          </cell>
          <cell r="L113">
            <v>580</v>
          </cell>
          <cell r="M113">
            <v>0</v>
          </cell>
          <cell r="N113">
            <v>0</v>
          </cell>
          <cell r="O113">
            <v>580</v>
          </cell>
          <cell r="P113">
            <v>0</v>
          </cell>
          <cell r="Q113">
            <v>580</v>
          </cell>
        </row>
        <row r="114">
          <cell r="A114">
            <v>30.579999999999899</v>
          </cell>
          <cell r="C114" t="str">
            <v>01111</v>
          </cell>
          <cell r="D114">
            <v>37</v>
          </cell>
          <cell r="E114" t="str">
            <v>Placa 2.50 x 1.20 Gº diamante</v>
          </cell>
          <cell r="F114" t="str">
            <v>Nº</v>
          </cell>
          <cell r="G114">
            <v>1669</v>
          </cell>
          <cell r="L114">
            <v>1669</v>
          </cell>
          <cell r="M114">
            <v>0</v>
          </cell>
          <cell r="N114">
            <v>0</v>
          </cell>
          <cell r="O114">
            <v>1669</v>
          </cell>
          <cell r="P114">
            <v>0</v>
          </cell>
          <cell r="Q114">
            <v>1669</v>
          </cell>
        </row>
        <row r="115">
          <cell r="A115">
            <v>30.5899999999999</v>
          </cell>
          <cell r="C115" t="str">
            <v>03192</v>
          </cell>
          <cell r="D115" t="str">
            <v>3.2/1.80</v>
          </cell>
        </row>
        <row r="116">
          <cell r="A116">
            <v>30.599999999999898</v>
          </cell>
          <cell r="C116" t="str">
            <v>03192</v>
          </cell>
          <cell r="D116" t="str">
            <v>3.2/2.40</v>
          </cell>
          <cell r="E116" t="str">
            <v>Columna c/ ménsula p/ señalización</v>
          </cell>
          <cell r="F116" t="str">
            <v>Nº</v>
          </cell>
          <cell r="G116">
            <v>6011</v>
          </cell>
          <cell r="L116">
            <v>6011</v>
          </cell>
          <cell r="M116">
            <v>0</v>
          </cell>
          <cell r="N116">
            <v>0</v>
          </cell>
          <cell r="O116">
            <v>6011</v>
          </cell>
          <cell r="P116">
            <v>0</v>
          </cell>
          <cell r="Q116">
            <v>6011</v>
          </cell>
        </row>
        <row r="117">
          <cell r="A117">
            <v>30.649999999999899</v>
          </cell>
          <cell r="C117" t="str">
            <v>03210</v>
          </cell>
          <cell r="D117" t="str">
            <v>10</v>
          </cell>
          <cell r="E117" t="str">
            <v>Marco/tapa HoFo calzada (tipo A)</v>
          </cell>
          <cell r="F117" t="str">
            <v>Nº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</row>
        <row r="118">
          <cell r="A118">
            <v>30.659999999999901</v>
          </cell>
          <cell r="C118" t="str">
            <v>03210</v>
          </cell>
          <cell r="D118" t="str">
            <v>12</v>
          </cell>
          <cell r="E118" t="str">
            <v>Marco/tapa HoFo calzada c/bisagra</v>
          </cell>
          <cell r="F118" t="str">
            <v>Nº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</row>
        <row r="119">
          <cell r="A119">
            <v>30.669999999999899</v>
          </cell>
          <cell r="C119" t="str">
            <v>03210</v>
          </cell>
          <cell r="D119" t="str">
            <v>16</v>
          </cell>
          <cell r="E119" t="str">
            <v>Marco/tapa HoFo vereda (tipo C)</v>
          </cell>
          <cell r="F119" t="str">
            <v>Nº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</row>
        <row r="120">
          <cell r="A120">
            <v>30.6799999999999</v>
          </cell>
          <cell r="C120" t="str">
            <v>03210</v>
          </cell>
          <cell r="D120" t="str">
            <v>18</v>
          </cell>
          <cell r="E120" t="str">
            <v>Marco/tapa HoFo vereda c/bisagra</v>
          </cell>
          <cell r="F120" t="str">
            <v>Nº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</row>
        <row r="121">
          <cell r="A121">
            <v>30.689999999999898</v>
          </cell>
          <cell r="C121" t="str">
            <v>03210</v>
          </cell>
          <cell r="D121" t="str">
            <v>20</v>
          </cell>
          <cell r="E121" t="str">
            <v>Caja hidrante HoFo 20 x 20 cm</v>
          </cell>
          <cell r="F121" t="str">
            <v>Nº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</row>
        <row r="122">
          <cell r="A122">
            <v>30.6999999999999</v>
          </cell>
          <cell r="C122" t="str">
            <v>03210</v>
          </cell>
          <cell r="D122" t="str">
            <v>27</v>
          </cell>
          <cell r="E122" t="str">
            <v>Perfileria metálica</v>
          </cell>
          <cell r="F122" t="str">
            <v>Kg</v>
          </cell>
          <cell r="G122">
            <v>5</v>
          </cell>
          <cell r="L122">
            <v>5</v>
          </cell>
          <cell r="M122">
            <v>0</v>
          </cell>
          <cell r="N122">
            <v>0</v>
          </cell>
          <cell r="O122">
            <v>5</v>
          </cell>
          <cell r="P122">
            <v>0</v>
          </cell>
          <cell r="Q122">
            <v>5</v>
          </cell>
        </row>
        <row r="123">
          <cell r="A123">
            <v>30.709999999999901</v>
          </cell>
          <cell r="C123" t="str">
            <v>03210</v>
          </cell>
          <cell r="D123" t="str">
            <v>28</v>
          </cell>
          <cell r="E123" t="str">
            <v>Pieza suplementaria HoFo p/sumidero</v>
          </cell>
          <cell r="F123" t="str">
            <v>Nº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</row>
        <row r="124">
          <cell r="A124">
            <v>30.719999999999899</v>
          </cell>
          <cell r="C124" t="str">
            <v>03210</v>
          </cell>
          <cell r="D124" t="str">
            <v>29</v>
          </cell>
          <cell r="E124" t="str">
            <v>Marco y reja horizontal HoFo 49 x 52</v>
          </cell>
          <cell r="F124" t="str">
            <v>Nº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</row>
        <row r="125">
          <cell r="A125">
            <v>30.729999999999901</v>
          </cell>
          <cell r="C125" t="str">
            <v>03210</v>
          </cell>
          <cell r="D125" t="str">
            <v>40</v>
          </cell>
          <cell r="E125" t="str">
            <v>Válvula HoFo de aire D: 200 mm</v>
          </cell>
          <cell r="F125" t="str">
            <v>Nº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</row>
        <row r="126">
          <cell r="A126">
            <v>30.739999999999899</v>
          </cell>
          <cell r="C126" t="str">
            <v>03210</v>
          </cell>
          <cell r="D126" t="str">
            <v>42</v>
          </cell>
          <cell r="E126" t="str">
            <v>Válvula HoFo a diafragma D: 100 mm</v>
          </cell>
          <cell r="F126" t="str">
            <v>Nº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</row>
        <row r="127">
          <cell r="A127">
            <v>30.749999999999901</v>
          </cell>
          <cell r="C127" t="str">
            <v>03210</v>
          </cell>
          <cell r="D127" t="str">
            <v>60</v>
          </cell>
          <cell r="E127" t="str">
            <v>Ramal HoFo 200 x 200</v>
          </cell>
          <cell r="F127" t="str">
            <v>Nº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</row>
        <row r="128">
          <cell r="A128">
            <v>30.759999999999899</v>
          </cell>
          <cell r="C128" t="str">
            <v>03210</v>
          </cell>
          <cell r="D128" t="str">
            <v>62</v>
          </cell>
          <cell r="E128" t="str">
            <v>Ramal HoFo 200 x 100</v>
          </cell>
          <cell r="F128" t="str">
            <v>Nº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</row>
        <row r="129">
          <cell r="A129">
            <v>30.7699999999999</v>
          </cell>
          <cell r="C129" t="str">
            <v>03210</v>
          </cell>
          <cell r="D129" t="str">
            <v>70</v>
          </cell>
          <cell r="E129" t="str">
            <v>Baranda metálica peatonal cincada</v>
          </cell>
          <cell r="F129" t="str">
            <v>m</v>
          </cell>
          <cell r="G129">
            <v>250</v>
          </cell>
          <cell r="L129">
            <v>250</v>
          </cell>
          <cell r="M129">
            <v>0</v>
          </cell>
          <cell r="N129">
            <v>0</v>
          </cell>
          <cell r="O129">
            <v>250</v>
          </cell>
          <cell r="P129">
            <v>0</v>
          </cell>
          <cell r="Q129">
            <v>250</v>
          </cell>
        </row>
        <row r="130">
          <cell r="A130">
            <v>30.779999999999902</v>
          </cell>
          <cell r="C130" t="str">
            <v>03210</v>
          </cell>
          <cell r="D130" t="str">
            <v>90</v>
          </cell>
          <cell r="E130" t="str">
            <v>Azuche HoFo p/pilotes</v>
          </cell>
          <cell r="F130" t="str">
            <v>Nº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</row>
        <row r="131">
          <cell r="A131">
            <v>30.7899999999999</v>
          </cell>
          <cell r="C131" t="str">
            <v>20050</v>
          </cell>
          <cell r="D131" t="str">
            <v>300</v>
          </cell>
          <cell r="E131" t="str">
            <v>Defensa cincada cal. 12 - 7.62 m</v>
          </cell>
          <cell r="F131" t="str">
            <v>Nº</v>
          </cell>
          <cell r="G131">
            <v>262.81</v>
          </cell>
          <cell r="L131">
            <v>262.81</v>
          </cell>
          <cell r="M131">
            <v>0</v>
          </cell>
          <cell r="N131">
            <v>0</v>
          </cell>
          <cell r="O131">
            <v>262.81</v>
          </cell>
          <cell r="P131">
            <v>0</v>
          </cell>
          <cell r="Q131">
            <v>262.81</v>
          </cell>
        </row>
        <row r="132">
          <cell r="A132">
            <v>30.799999999999901</v>
          </cell>
          <cell r="C132" t="str">
            <v>20050</v>
          </cell>
          <cell r="D132" t="str">
            <v>302</v>
          </cell>
          <cell r="E132" t="str">
            <v>Defensa cincada cal. 10 - 3.81 m</v>
          </cell>
          <cell r="F132" t="str">
            <v>Nº</v>
          </cell>
          <cell r="G132">
            <v>177</v>
          </cell>
          <cell r="L132">
            <v>177</v>
          </cell>
          <cell r="M132">
            <v>0</v>
          </cell>
          <cell r="N132">
            <v>0</v>
          </cell>
          <cell r="O132">
            <v>177</v>
          </cell>
          <cell r="P132">
            <v>0</v>
          </cell>
          <cell r="Q132">
            <v>177</v>
          </cell>
        </row>
        <row r="133">
          <cell r="A133">
            <v>30.809999999999899</v>
          </cell>
          <cell r="C133" t="str">
            <v>20050</v>
          </cell>
          <cell r="D133" t="str">
            <v>310</v>
          </cell>
          <cell r="E133" t="str">
            <v>Defensa metálica cincada</v>
          </cell>
          <cell r="F133" t="str">
            <v>Nº</v>
          </cell>
          <cell r="G133">
            <v>344.58</v>
          </cell>
          <cell r="L133">
            <v>344.58</v>
          </cell>
          <cell r="M133">
            <v>0</v>
          </cell>
          <cell r="N133">
            <v>0</v>
          </cell>
          <cell r="O133">
            <v>344.58</v>
          </cell>
          <cell r="P133">
            <v>0</v>
          </cell>
          <cell r="Q133">
            <v>344.58</v>
          </cell>
        </row>
        <row r="134">
          <cell r="A134">
            <v>30.819999999999901</v>
          </cell>
          <cell r="C134" t="str">
            <v>20050</v>
          </cell>
          <cell r="D134" t="str">
            <v>312</v>
          </cell>
          <cell r="E134" t="str">
            <v>Defensa cincada cal. 10 - 7.62 m</v>
          </cell>
          <cell r="F134" t="str">
            <v>Nº</v>
          </cell>
          <cell r="G134">
            <v>346.18</v>
          </cell>
          <cell r="H134">
            <v>565</v>
          </cell>
          <cell r="I134">
            <v>1.4999999999999999E-2</v>
          </cell>
          <cell r="L134">
            <v>346.18</v>
          </cell>
          <cell r="M134">
            <v>8.48</v>
          </cell>
          <cell r="N134">
            <v>0</v>
          </cell>
          <cell r="O134">
            <v>354.66</v>
          </cell>
          <cell r="P134">
            <v>0</v>
          </cell>
          <cell r="Q134">
            <v>354.66</v>
          </cell>
        </row>
        <row r="135">
          <cell r="A135">
            <v>30.829999999999899</v>
          </cell>
          <cell r="C135" t="str">
            <v>20050</v>
          </cell>
          <cell r="D135">
            <v>313</v>
          </cell>
          <cell r="E135" t="str">
            <v>Defensa cincada cal. 10 - 7.62 m - Curva</v>
          </cell>
          <cell r="F135" t="str">
            <v>Nº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A136">
            <v>30.8399999999999</v>
          </cell>
          <cell r="C136" t="str">
            <v>20050</v>
          </cell>
          <cell r="D136" t="str">
            <v>320</v>
          </cell>
          <cell r="E136" t="str">
            <v>Ala terminal común</v>
          </cell>
          <cell r="F136" t="str">
            <v>Nº</v>
          </cell>
          <cell r="G136">
            <v>67.099999999999994</v>
          </cell>
          <cell r="L136">
            <v>67.099999999999994</v>
          </cell>
          <cell r="M136">
            <v>0</v>
          </cell>
          <cell r="N136">
            <v>0</v>
          </cell>
          <cell r="O136">
            <v>67.099999999999994</v>
          </cell>
          <cell r="P136">
            <v>0</v>
          </cell>
          <cell r="Q136">
            <v>67.099999999999994</v>
          </cell>
        </row>
        <row r="137">
          <cell r="A137">
            <v>30.849999999999898</v>
          </cell>
          <cell r="C137" t="str">
            <v>20050</v>
          </cell>
          <cell r="D137" t="str">
            <v>330</v>
          </cell>
          <cell r="E137" t="str">
            <v>Poste metálico pesado</v>
          </cell>
          <cell r="F137" t="str">
            <v>Nº</v>
          </cell>
          <cell r="G137">
            <v>110.56</v>
          </cell>
          <cell r="H137">
            <v>565</v>
          </cell>
          <cell r="I137">
            <v>1E-3</v>
          </cell>
          <cell r="L137">
            <v>110.56</v>
          </cell>
          <cell r="M137">
            <v>0.56999999999999995</v>
          </cell>
          <cell r="N137">
            <v>0</v>
          </cell>
          <cell r="O137">
            <v>111.13</v>
          </cell>
          <cell r="P137">
            <v>0</v>
          </cell>
          <cell r="Q137">
            <v>111.13</v>
          </cell>
        </row>
        <row r="138">
          <cell r="A138">
            <v>30.8599999999999</v>
          </cell>
          <cell r="C138" t="str">
            <v>20050</v>
          </cell>
          <cell r="D138" t="str">
            <v>331</v>
          </cell>
          <cell r="E138" t="str">
            <v>Poste metálico liviano</v>
          </cell>
          <cell r="F138" t="str">
            <v>Nº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</row>
        <row r="139">
          <cell r="A139">
            <v>30.869999999999902</v>
          </cell>
          <cell r="C139" t="str">
            <v>20050</v>
          </cell>
          <cell r="D139" t="str">
            <v>332</v>
          </cell>
          <cell r="E139" t="str">
            <v>Poste metálico tipo A</v>
          </cell>
          <cell r="F139" t="str">
            <v>Nº</v>
          </cell>
          <cell r="G139">
            <v>183</v>
          </cell>
          <cell r="L139">
            <v>183</v>
          </cell>
          <cell r="M139">
            <v>0</v>
          </cell>
          <cell r="N139">
            <v>0</v>
          </cell>
          <cell r="O139">
            <v>183</v>
          </cell>
          <cell r="P139">
            <v>0</v>
          </cell>
          <cell r="Q139">
            <v>183</v>
          </cell>
        </row>
        <row r="140">
          <cell r="A140">
            <v>30.8799999999999</v>
          </cell>
          <cell r="C140" t="str">
            <v>20050</v>
          </cell>
          <cell r="D140" t="str">
            <v>334</v>
          </cell>
          <cell r="E140" t="str">
            <v>Poste metálico tipo B</v>
          </cell>
          <cell r="F140" t="str">
            <v>Nº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</row>
        <row r="141">
          <cell r="A141">
            <v>30.889999999999901</v>
          </cell>
          <cell r="C141" t="str">
            <v>20050</v>
          </cell>
          <cell r="D141" t="str">
            <v>350</v>
          </cell>
          <cell r="E141" t="str">
            <v>Poste p/baranda tipo 1</v>
          </cell>
          <cell r="F141" t="str">
            <v>Nº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</row>
        <row r="142">
          <cell r="A142">
            <v>30.899999999999899</v>
          </cell>
          <cell r="C142" t="str">
            <v>20050</v>
          </cell>
          <cell r="D142" t="str">
            <v>352</v>
          </cell>
          <cell r="E142" t="str">
            <v>Caño galvanizado ø 1½"</v>
          </cell>
          <cell r="F142" t="str">
            <v>m</v>
          </cell>
          <cell r="G142">
            <v>23.36</v>
          </cell>
          <cell r="L142">
            <v>23.36</v>
          </cell>
          <cell r="M142">
            <v>0</v>
          </cell>
          <cell r="N142">
            <v>0</v>
          </cell>
          <cell r="O142">
            <v>23.36</v>
          </cell>
          <cell r="P142">
            <v>0</v>
          </cell>
          <cell r="Q142">
            <v>23.36</v>
          </cell>
        </row>
        <row r="143">
          <cell r="A143">
            <v>30.909999999999901</v>
          </cell>
          <cell r="E143" t="str">
            <v>Poste p/ baranda tipo A</v>
          </cell>
          <cell r="F143" t="str">
            <v>Nº</v>
          </cell>
          <cell r="G143">
            <v>98.11</v>
          </cell>
          <cell r="L143">
            <v>98.11</v>
          </cell>
          <cell r="M143">
            <v>0</v>
          </cell>
          <cell r="N143">
            <v>0</v>
          </cell>
          <cell r="O143">
            <v>98.11</v>
          </cell>
          <cell r="P143">
            <v>0</v>
          </cell>
          <cell r="Q143">
            <v>98.11</v>
          </cell>
        </row>
        <row r="144">
          <cell r="A144">
            <v>30.919999999999899</v>
          </cell>
          <cell r="E144" t="str">
            <v>Separador p/ baranda</v>
          </cell>
          <cell r="F144" t="str">
            <v>Nº</v>
          </cell>
          <cell r="G144">
            <v>25</v>
          </cell>
          <cell r="L144">
            <v>25</v>
          </cell>
          <cell r="M144">
            <v>0</v>
          </cell>
          <cell r="N144">
            <v>0</v>
          </cell>
          <cell r="O144">
            <v>25</v>
          </cell>
          <cell r="P144">
            <v>0</v>
          </cell>
          <cell r="Q144">
            <v>25</v>
          </cell>
        </row>
        <row r="145">
          <cell r="A145">
            <v>30.9299999999999</v>
          </cell>
          <cell r="E145" t="str">
            <v>Inserto p/ poste baranda</v>
          </cell>
          <cell r="F145" t="str">
            <v>Nº</v>
          </cell>
          <cell r="G145">
            <v>30</v>
          </cell>
          <cell r="L145">
            <v>30</v>
          </cell>
          <cell r="M145">
            <v>0</v>
          </cell>
          <cell r="N145">
            <v>0</v>
          </cell>
          <cell r="O145">
            <v>30</v>
          </cell>
          <cell r="P145">
            <v>0</v>
          </cell>
          <cell r="Q145">
            <v>30</v>
          </cell>
        </row>
        <row r="146">
          <cell r="A146">
            <v>30.94</v>
          </cell>
          <cell r="E146" t="str">
            <v>Columna iluminación h: 7 m, brazo  1.5 m</v>
          </cell>
          <cell r="F146" t="str">
            <v>Nº</v>
          </cell>
          <cell r="G146">
            <v>615</v>
          </cell>
          <cell r="L146">
            <v>615</v>
          </cell>
          <cell r="M146">
            <v>0</v>
          </cell>
          <cell r="N146">
            <v>0</v>
          </cell>
          <cell r="O146">
            <v>615</v>
          </cell>
          <cell r="P146">
            <v>0</v>
          </cell>
          <cell r="Q146">
            <v>615</v>
          </cell>
        </row>
        <row r="147">
          <cell r="A147">
            <v>30.95</v>
          </cell>
          <cell r="E147" t="str">
            <v>Columna iluminación h: 12 m, brazo 2.0 m</v>
          </cell>
          <cell r="F147" t="str">
            <v>Nº</v>
          </cell>
          <cell r="G147">
            <v>309</v>
          </cell>
          <cell r="L147">
            <v>309</v>
          </cell>
          <cell r="M147">
            <v>0</v>
          </cell>
          <cell r="N147">
            <v>0</v>
          </cell>
          <cell r="O147">
            <v>309</v>
          </cell>
          <cell r="P147">
            <v>0</v>
          </cell>
          <cell r="Q147">
            <v>309</v>
          </cell>
        </row>
        <row r="148">
          <cell r="A148">
            <v>30.96</v>
          </cell>
          <cell r="E148" t="str">
            <v>Perfil metálico</v>
          </cell>
          <cell r="F148" t="str">
            <v>kg</v>
          </cell>
          <cell r="G148">
            <v>3</v>
          </cell>
          <cell r="L148">
            <v>3</v>
          </cell>
          <cell r="M148">
            <v>0</v>
          </cell>
          <cell r="N148">
            <v>0</v>
          </cell>
          <cell r="O148">
            <v>3</v>
          </cell>
          <cell r="P148">
            <v>0</v>
          </cell>
          <cell r="Q148">
            <v>3</v>
          </cell>
        </row>
        <row r="149">
          <cell r="A149">
            <v>30.97</v>
          </cell>
          <cell r="E149" t="str">
            <v>Cordón 1x7 acero baja relajación grado 270 d:12.7mm</v>
          </cell>
          <cell r="F149" t="str">
            <v>Tn</v>
          </cell>
          <cell r="G149">
            <v>4299</v>
          </cell>
          <cell r="K149">
            <v>0.03</v>
          </cell>
          <cell r="L149">
            <v>4299</v>
          </cell>
          <cell r="M149">
            <v>0</v>
          </cell>
          <cell r="N149">
            <v>0</v>
          </cell>
          <cell r="O149">
            <v>4299</v>
          </cell>
          <cell r="P149">
            <v>128.97</v>
          </cell>
          <cell r="Q149">
            <v>4427.97</v>
          </cell>
        </row>
        <row r="151">
          <cell r="A151">
            <v>31</v>
          </cell>
          <cell r="B151" t="str">
            <v>ELEMENTOS DE SEÑALIZACIÓN</v>
          </cell>
        </row>
        <row r="152">
          <cell r="A152">
            <v>31.01</v>
          </cell>
          <cell r="E152" t="str">
            <v>Placa p/ señalización vertical</v>
          </cell>
          <cell r="F152" t="str">
            <v>m2</v>
          </cell>
          <cell r="G152">
            <v>345</v>
          </cell>
          <cell r="L152">
            <v>345</v>
          </cell>
          <cell r="M152">
            <v>0</v>
          </cell>
          <cell r="N152">
            <v>0</v>
          </cell>
          <cell r="O152">
            <v>345</v>
          </cell>
          <cell r="P152">
            <v>0</v>
          </cell>
          <cell r="Q152">
            <v>345</v>
          </cell>
        </row>
        <row r="153">
          <cell r="A153">
            <v>31.02</v>
          </cell>
          <cell r="E153" t="str">
            <v>Placa p/ señalizacion 6.00 m x 2.00 m</v>
          </cell>
          <cell r="F153" t="str">
            <v>Nº</v>
          </cell>
          <cell r="G153">
            <v>5232</v>
          </cell>
          <cell r="L153">
            <v>5232</v>
          </cell>
          <cell r="M153">
            <v>0</v>
          </cell>
          <cell r="N153">
            <v>0</v>
          </cell>
          <cell r="O153">
            <v>5232</v>
          </cell>
          <cell r="P153">
            <v>0</v>
          </cell>
          <cell r="Q153">
            <v>5232</v>
          </cell>
        </row>
        <row r="154">
          <cell r="A154">
            <v>31.03</v>
          </cell>
          <cell r="E154" t="str">
            <v>Placa p/ señalizacion 3.00 m x 2.00 m</v>
          </cell>
          <cell r="F154" t="str">
            <v>Nº</v>
          </cell>
          <cell r="G154">
            <v>1740</v>
          </cell>
          <cell r="L154">
            <v>1740</v>
          </cell>
          <cell r="M154">
            <v>0</v>
          </cell>
          <cell r="N154">
            <v>0</v>
          </cell>
          <cell r="O154">
            <v>1740</v>
          </cell>
          <cell r="P154">
            <v>0</v>
          </cell>
          <cell r="Q154">
            <v>1740</v>
          </cell>
        </row>
        <row r="155">
          <cell r="A155">
            <v>31.04</v>
          </cell>
          <cell r="E155" t="str">
            <v>Placa p/ señalizacion 2.40 m x 1.20 m</v>
          </cell>
          <cell r="F155" t="str">
            <v>Nº</v>
          </cell>
          <cell r="G155">
            <v>1256</v>
          </cell>
          <cell r="L155">
            <v>1256</v>
          </cell>
          <cell r="M155">
            <v>0</v>
          </cell>
          <cell r="N155">
            <v>0</v>
          </cell>
          <cell r="O155">
            <v>1256</v>
          </cell>
          <cell r="P155">
            <v>0</v>
          </cell>
          <cell r="Q155">
            <v>1256</v>
          </cell>
        </row>
        <row r="156">
          <cell r="A156">
            <v>31.05</v>
          </cell>
          <cell r="E156" t="str">
            <v>Mensula p/ señalizacion vertical</v>
          </cell>
          <cell r="F156" t="str">
            <v>Nº</v>
          </cell>
          <cell r="G156">
            <v>4100</v>
          </cell>
          <cell r="L156">
            <v>4100</v>
          </cell>
          <cell r="M156">
            <v>0</v>
          </cell>
          <cell r="N156">
            <v>0</v>
          </cell>
          <cell r="O156">
            <v>4100</v>
          </cell>
          <cell r="P156">
            <v>0</v>
          </cell>
          <cell r="Q156">
            <v>4100</v>
          </cell>
        </row>
        <row r="157">
          <cell r="A157">
            <v>31.06</v>
          </cell>
          <cell r="E157" t="str">
            <v>Portico p/ señalizacion vertical</v>
          </cell>
          <cell r="F157" t="str">
            <v>Nº</v>
          </cell>
          <cell r="G157">
            <v>24100</v>
          </cell>
          <cell r="L157">
            <v>24100</v>
          </cell>
          <cell r="M157">
            <v>0</v>
          </cell>
          <cell r="N157">
            <v>0</v>
          </cell>
          <cell r="O157">
            <v>24100</v>
          </cell>
          <cell r="P157">
            <v>0</v>
          </cell>
          <cell r="Q157">
            <v>24100</v>
          </cell>
        </row>
        <row r="158">
          <cell r="A158">
            <v>31.07</v>
          </cell>
          <cell r="E158" t="str">
            <v>Demarcacion horizontal p/ pulverizacion e: 1.5 mm</v>
          </cell>
          <cell r="F158" t="str">
            <v>m²</v>
          </cell>
          <cell r="G158">
            <v>22.8</v>
          </cell>
          <cell r="L158">
            <v>22.8</v>
          </cell>
          <cell r="M158">
            <v>0</v>
          </cell>
          <cell r="N158">
            <v>0</v>
          </cell>
          <cell r="O158">
            <v>22.8</v>
          </cell>
          <cell r="P158">
            <v>0</v>
          </cell>
          <cell r="Q158">
            <v>22.8</v>
          </cell>
        </row>
        <row r="159">
          <cell r="A159">
            <v>31.08</v>
          </cell>
          <cell r="E159" t="str">
            <v>Demarcacion horizontal p/ extrusion e: 3.0 mm</v>
          </cell>
          <cell r="F159" t="str">
            <v>m²</v>
          </cell>
          <cell r="G159">
            <v>44</v>
          </cell>
          <cell r="L159">
            <v>44</v>
          </cell>
        </row>
        <row r="160">
          <cell r="A160">
            <v>31.09</v>
          </cell>
          <cell r="E160" t="str">
            <v>Demarcacion horizontal p/ extrusion e: 5.0 mm</v>
          </cell>
          <cell r="F160" t="str">
            <v>m²</v>
          </cell>
          <cell r="G160">
            <v>70</v>
          </cell>
          <cell r="L160">
            <v>70</v>
          </cell>
        </row>
        <row r="161">
          <cell r="A161">
            <v>31.1</v>
          </cell>
          <cell r="E161" t="str">
            <v>Demarcacion horizontal en frio</v>
          </cell>
          <cell r="F161" t="str">
            <v>m²</v>
          </cell>
          <cell r="G161">
            <v>16</v>
          </cell>
          <cell r="L161">
            <v>16</v>
          </cell>
        </row>
        <row r="162">
          <cell r="A162">
            <v>31.11</v>
          </cell>
        </row>
        <row r="163">
          <cell r="A163">
            <v>35</v>
          </cell>
          <cell r="B163" t="str">
            <v>ELEMENTOS DE CORTE, PERFORACION</v>
          </cell>
        </row>
        <row r="164">
          <cell r="A164">
            <v>35.01</v>
          </cell>
          <cell r="E164" t="str">
            <v>Disco de corte</v>
          </cell>
          <cell r="F164" t="str">
            <v>Nº</v>
          </cell>
          <cell r="G164">
            <v>600</v>
          </cell>
          <cell r="L164">
            <v>600</v>
          </cell>
          <cell r="M164">
            <v>0</v>
          </cell>
          <cell r="N164">
            <v>0</v>
          </cell>
          <cell r="O164">
            <v>600</v>
          </cell>
          <cell r="P164">
            <v>0</v>
          </cell>
          <cell r="Q164">
            <v>600</v>
          </cell>
        </row>
        <row r="165">
          <cell r="A165">
            <v>35.020000000000003</v>
          </cell>
          <cell r="C165" t="str">
            <v>07060</v>
          </cell>
          <cell r="D165" t="str">
            <v>12</v>
          </cell>
          <cell r="E165" t="str">
            <v>Broca Botón 2 ½</v>
          </cell>
          <cell r="F165" t="str">
            <v>Nº</v>
          </cell>
          <cell r="G165">
            <v>315.47000000000003</v>
          </cell>
          <cell r="L165">
            <v>315.47000000000003</v>
          </cell>
          <cell r="M165">
            <v>0</v>
          </cell>
          <cell r="N165">
            <v>0</v>
          </cell>
          <cell r="O165">
            <v>315.47000000000003</v>
          </cell>
          <cell r="P165">
            <v>0</v>
          </cell>
          <cell r="Q165">
            <v>315.47000000000003</v>
          </cell>
        </row>
        <row r="166">
          <cell r="A166">
            <v>35.03</v>
          </cell>
          <cell r="E166" t="str">
            <v>Diente de fresado</v>
          </cell>
        </row>
        <row r="167">
          <cell r="A167">
            <v>40</v>
          </cell>
          <cell r="B167" t="str">
            <v>MADERAS</v>
          </cell>
        </row>
        <row r="168">
          <cell r="A168">
            <v>40.01</v>
          </cell>
          <cell r="C168" t="str">
            <v>04010</v>
          </cell>
          <cell r="D168" t="str">
            <v>10</v>
          </cell>
          <cell r="E168" t="str">
            <v>Encofrado fenólico : 19 mm</v>
          </cell>
          <cell r="F168" t="str">
            <v>m²</v>
          </cell>
          <cell r="G168">
            <v>23</v>
          </cell>
          <cell r="K168">
            <v>0.1</v>
          </cell>
          <cell r="L168">
            <v>23</v>
          </cell>
          <cell r="M168">
            <v>0</v>
          </cell>
          <cell r="N168">
            <v>0</v>
          </cell>
          <cell r="O168">
            <v>23</v>
          </cell>
          <cell r="P168">
            <v>2.2999999999999998</v>
          </cell>
          <cell r="Q168">
            <v>25.3</v>
          </cell>
        </row>
        <row r="169">
          <cell r="A169">
            <v>40.020000000000003</v>
          </cell>
          <cell r="C169" t="str">
            <v>04060</v>
          </cell>
          <cell r="D169" t="str">
            <v>10</v>
          </cell>
          <cell r="E169" t="str">
            <v>Madera p/ encofrados</v>
          </cell>
          <cell r="F169" t="str">
            <v>m²</v>
          </cell>
          <cell r="G169">
            <v>14.3</v>
          </cell>
          <cell r="K169">
            <v>0.1</v>
          </cell>
          <cell r="L169">
            <v>14.3</v>
          </cell>
          <cell r="M169">
            <v>0</v>
          </cell>
          <cell r="N169">
            <v>0</v>
          </cell>
          <cell r="O169">
            <v>14.3</v>
          </cell>
          <cell r="P169">
            <v>1.43</v>
          </cell>
          <cell r="Q169">
            <v>15.73</v>
          </cell>
        </row>
        <row r="170">
          <cell r="A170">
            <v>40.03</v>
          </cell>
          <cell r="C170" t="str">
            <v>04060</v>
          </cell>
          <cell r="D170" t="str">
            <v>12</v>
          </cell>
          <cell r="E170" t="str">
            <v>Tirante 3 x 3 pino Saligna</v>
          </cell>
          <cell r="F170" t="str">
            <v>m</v>
          </cell>
          <cell r="G170">
            <v>12.1</v>
          </cell>
          <cell r="K170">
            <v>0.1</v>
          </cell>
          <cell r="L170">
            <v>12.1</v>
          </cell>
          <cell r="M170">
            <v>0</v>
          </cell>
          <cell r="N170">
            <v>0</v>
          </cell>
          <cell r="O170">
            <v>12.1</v>
          </cell>
          <cell r="P170">
            <v>1.21</v>
          </cell>
          <cell r="Q170">
            <v>13.31</v>
          </cell>
        </row>
        <row r="171">
          <cell r="A171">
            <v>40.04</v>
          </cell>
          <cell r="C171" t="str">
            <v>04060</v>
          </cell>
          <cell r="D171" t="str">
            <v>14</v>
          </cell>
          <cell r="E171" t="str">
            <v>Poste p/ señalización</v>
          </cell>
          <cell r="F171" t="str">
            <v>Nº</v>
          </cell>
          <cell r="G171">
            <v>35</v>
          </cell>
          <cell r="L171">
            <v>35</v>
          </cell>
          <cell r="M171">
            <v>0</v>
          </cell>
          <cell r="N171">
            <v>0</v>
          </cell>
          <cell r="O171">
            <v>35</v>
          </cell>
          <cell r="P171">
            <v>0</v>
          </cell>
          <cell r="Q171">
            <v>35</v>
          </cell>
        </row>
        <row r="172">
          <cell r="A172">
            <v>40.049999999999997</v>
          </cell>
          <cell r="E172" t="str">
            <v>Tabla pino 1" x 4"</v>
          </cell>
          <cell r="F172" t="str">
            <v>m2</v>
          </cell>
          <cell r="G172">
            <v>7.4</v>
          </cell>
          <cell r="K172">
            <v>0.1</v>
          </cell>
          <cell r="L172">
            <v>7.4</v>
          </cell>
          <cell r="M172">
            <v>0</v>
          </cell>
          <cell r="N172">
            <v>0</v>
          </cell>
          <cell r="O172">
            <v>7.4</v>
          </cell>
          <cell r="P172">
            <v>0.74</v>
          </cell>
          <cell r="Q172">
            <v>8.14</v>
          </cell>
        </row>
        <row r="173">
          <cell r="A173">
            <v>40.1</v>
          </cell>
          <cell r="E173" t="str">
            <v>Poste de quebracho colorado</v>
          </cell>
          <cell r="F173" t="str">
            <v>Nº</v>
          </cell>
          <cell r="G173">
            <v>52</v>
          </cell>
          <cell r="L173">
            <v>52</v>
          </cell>
          <cell r="M173">
            <v>0</v>
          </cell>
          <cell r="N173">
            <v>0</v>
          </cell>
          <cell r="O173">
            <v>52</v>
          </cell>
          <cell r="P173">
            <v>0</v>
          </cell>
          <cell r="Q173">
            <v>52</v>
          </cell>
        </row>
        <row r="174">
          <cell r="A174">
            <v>40.11</v>
          </cell>
          <cell r="E174" t="str">
            <v>1/2 poste de quebracho colorado</v>
          </cell>
          <cell r="F174" t="str">
            <v>Nº</v>
          </cell>
          <cell r="G174">
            <v>24</v>
          </cell>
          <cell r="L174">
            <v>24</v>
          </cell>
          <cell r="M174">
            <v>0</v>
          </cell>
          <cell r="N174">
            <v>0</v>
          </cell>
          <cell r="O174">
            <v>24</v>
          </cell>
          <cell r="P174">
            <v>0</v>
          </cell>
          <cell r="Q174">
            <v>24</v>
          </cell>
        </row>
        <row r="175">
          <cell r="A175">
            <v>40.119999999999997</v>
          </cell>
          <cell r="E175" t="str">
            <v>Varillón</v>
          </cell>
          <cell r="F175" t="str">
            <v>Nº</v>
          </cell>
          <cell r="G175">
            <v>4</v>
          </cell>
          <cell r="L175">
            <v>4</v>
          </cell>
          <cell r="M175">
            <v>0</v>
          </cell>
          <cell r="N175">
            <v>0</v>
          </cell>
          <cell r="O175">
            <v>4</v>
          </cell>
          <cell r="P175">
            <v>0</v>
          </cell>
          <cell r="Q175">
            <v>4</v>
          </cell>
        </row>
        <row r="176">
          <cell r="A176">
            <v>40.130000000000003</v>
          </cell>
          <cell r="E176" t="str">
            <v>Varilla</v>
          </cell>
          <cell r="F176" t="str">
            <v>Nº</v>
          </cell>
          <cell r="G176">
            <v>3.2</v>
          </cell>
          <cell r="L176">
            <v>3.2</v>
          </cell>
          <cell r="M176">
            <v>0</v>
          </cell>
          <cell r="N176">
            <v>0</v>
          </cell>
          <cell r="O176">
            <v>3.2</v>
          </cell>
          <cell r="P176">
            <v>0</v>
          </cell>
          <cell r="Q176">
            <v>3.2</v>
          </cell>
        </row>
        <row r="177">
          <cell r="A177">
            <v>40.14</v>
          </cell>
          <cell r="E177" t="str">
            <v>Poste de madera 3" x 3" x 3.00 m</v>
          </cell>
          <cell r="F177" t="str">
            <v>Nº</v>
          </cell>
          <cell r="G177">
            <v>14</v>
          </cell>
          <cell r="L177">
            <v>14</v>
          </cell>
          <cell r="M177">
            <v>0</v>
          </cell>
          <cell r="N177">
            <v>0</v>
          </cell>
          <cell r="O177">
            <v>14</v>
          </cell>
          <cell r="P177">
            <v>0</v>
          </cell>
          <cell r="Q177">
            <v>14</v>
          </cell>
        </row>
        <row r="178">
          <cell r="A178">
            <v>40.15</v>
          </cell>
          <cell r="E178" t="str">
            <v>Poste de madera 3" x 4" x 3.00 m</v>
          </cell>
          <cell r="F178" t="str">
            <v>Nº</v>
          </cell>
          <cell r="G178">
            <v>17</v>
          </cell>
          <cell r="L178">
            <v>17</v>
          </cell>
          <cell r="M178">
            <v>0</v>
          </cell>
          <cell r="N178">
            <v>0</v>
          </cell>
          <cell r="O178">
            <v>17</v>
          </cell>
          <cell r="P178">
            <v>0</v>
          </cell>
          <cell r="Q178">
            <v>17</v>
          </cell>
        </row>
        <row r="179">
          <cell r="A179">
            <v>40.159999999999997</v>
          </cell>
          <cell r="E179" t="str">
            <v>Tirante 3 x 6 pino Paraná</v>
          </cell>
          <cell r="F179" t="str">
            <v>ml</v>
          </cell>
          <cell r="G179">
            <v>11</v>
          </cell>
          <cell r="L179">
            <v>11</v>
          </cell>
          <cell r="M179">
            <v>0</v>
          </cell>
          <cell r="N179">
            <v>0</v>
          </cell>
          <cell r="O179">
            <v>11</v>
          </cell>
          <cell r="P179">
            <v>0</v>
          </cell>
          <cell r="Q179">
            <v>11</v>
          </cell>
        </row>
        <row r="180">
          <cell r="A180">
            <v>40.200000000000003</v>
          </cell>
          <cell r="E180" t="str">
            <v>Tranquera tipo B</v>
          </cell>
          <cell r="F180" t="str">
            <v>Nº</v>
          </cell>
          <cell r="G180">
            <v>580</v>
          </cell>
          <cell r="L180">
            <v>580</v>
          </cell>
          <cell r="M180">
            <v>0</v>
          </cell>
          <cell r="N180">
            <v>0</v>
          </cell>
          <cell r="O180">
            <v>580</v>
          </cell>
          <cell r="P180">
            <v>0</v>
          </cell>
          <cell r="Q180">
            <v>580</v>
          </cell>
        </row>
        <row r="181">
          <cell r="A181">
            <v>40.21</v>
          </cell>
          <cell r="E181" t="str">
            <v>Encofrado metálico modular (curvo)</v>
          </cell>
          <cell r="F181" t="str">
            <v>m2</v>
          </cell>
          <cell r="G181">
            <v>800</v>
          </cell>
          <cell r="L181">
            <v>800</v>
          </cell>
          <cell r="M181">
            <v>0</v>
          </cell>
          <cell r="N181">
            <v>0</v>
          </cell>
          <cell r="O181">
            <v>800</v>
          </cell>
          <cell r="P181">
            <v>0</v>
          </cell>
          <cell r="Q181">
            <v>800</v>
          </cell>
        </row>
        <row r="182">
          <cell r="A182">
            <v>40.22</v>
          </cell>
          <cell r="E182" t="str">
            <v>Encofrado metálico modular (plano)</v>
          </cell>
          <cell r="F182" t="str">
            <v>m2</v>
          </cell>
          <cell r="G182">
            <v>600</v>
          </cell>
          <cell r="L182">
            <v>600</v>
          </cell>
          <cell r="M182">
            <v>0</v>
          </cell>
          <cell r="N182">
            <v>0</v>
          </cell>
          <cell r="O182">
            <v>600</v>
          </cell>
          <cell r="P182">
            <v>0</v>
          </cell>
          <cell r="Q182">
            <v>600</v>
          </cell>
        </row>
        <row r="183">
          <cell r="A183">
            <v>50</v>
          </cell>
          <cell r="B183" t="str">
            <v>PLASTICOS, CAUCHOS</v>
          </cell>
        </row>
        <row r="184">
          <cell r="A184">
            <v>50.01</v>
          </cell>
          <cell r="C184" t="str">
            <v>05040</v>
          </cell>
          <cell r="D184" t="str">
            <v>110</v>
          </cell>
          <cell r="E184" t="str">
            <v>Caño PVC D: 110 mm</v>
          </cell>
          <cell r="F184" t="str">
            <v>m</v>
          </cell>
          <cell r="G184">
            <v>6</v>
          </cell>
          <cell r="K184">
            <v>0.05</v>
          </cell>
          <cell r="L184">
            <v>6</v>
          </cell>
          <cell r="M184">
            <v>0</v>
          </cell>
          <cell r="N184">
            <v>0</v>
          </cell>
          <cell r="O184">
            <v>6</v>
          </cell>
          <cell r="P184">
            <v>0.3</v>
          </cell>
          <cell r="Q184">
            <v>6.3</v>
          </cell>
        </row>
        <row r="185">
          <cell r="A185">
            <v>50.02</v>
          </cell>
          <cell r="C185" t="str">
            <v>05040</v>
          </cell>
          <cell r="D185" t="str">
            <v>160</v>
          </cell>
          <cell r="E185" t="str">
            <v>Caño PVC D: 160 mm cloacal</v>
          </cell>
          <cell r="F185" t="str">
            <v>m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</row>
        <row r="186">
          <cell r="A186">
            <v>50.03</v>
          </cell>
          <cell r="C186" t="str">
            <v>05040</v>
          </cell>
          <cell r="D186" t="str">
            <v>200</v>
          </cell>
          <cell r="E186" t="str">
            <v>Caño PVC D: 200 mm cloacal</v>
          </cell>
          <cell r="F186" t="str">
            <v>m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</row>
        <row r="187">
          <cell r="A187">
            <v>50.04</v>
          </cell>
          <cell r="C187" t="str">
            <v>05040</v>
          </cell>
          <cell r="D187" t="str">
            <v>250</v>
          </cell>
          <cell r="E187" t="str">
            <v>Caño PVC D: 250 mm cloacal</v>
          </cell>
          <cell r="F187" t="str">
            <v>m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</row>
        <row r="188">
          <cell r="A188">
            <v>50.05</v>
          </cell>
          <cell r="C188" t="str">
            <v>05040</v>
          </cell>
          <cell r="D188" t="str">
            <v>315</v>
          </cell>
          <cell r="E188" t="str">
            <v>Caño PVC D: 315 mm cloacal</v>
          </cell>
          <cell r="F188" t="str">
            <v>m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</row>
        <row r="189">
          <cell r="A189">
            <v>50.06</v>
          </cell>
          <cell r="C189" t="str">
            <v>05040</v>
          </cell>
          <cell r="D189" t="str">
            <v>6-110</v>
          </cell>
          <cell r="E189" t="str">
            <v>Caño PVC D: 110 mm clase 6</v>
          </cell>
          <cell r="F189" t="str">
            <v>m</v>
          </cell>
          <cell r="G189">
            <v>6.5</v>
          </cell>
          <cell r="L189">
            <v>6.5</v>
          </cell>
          <cell r="M189">
            <v>0</v>
          </cell>
          <cell r="N189">
            <v>0</v>
          </cell>
          <cell r="O189">
            <v>6.5</v>
          </cell>
          <cell r="P189">
            <v>0</v>
          </cell>
          <cell r="Q189">
            <v>6.5</v>
          </cell>
        </row>
        <row r="190">
          <cell r="A190">
            <v>50.07</v>
          </cell>
          <cell r="C190" t="str">
            <v>05040</v>
          </cell>
          <cell r="D190" t="str">
            <v>6-200</v>
          </cell>
          <cell r="E190" t="str">
            <v>Caño PVC D: 200 mm clase 6</v>
          </cell>
          <cell r="F190" t="str">
            <v>m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</row>
        <row r="191">
          <cell r="A191">
            <v>50.08</v>
          </cell>
          <cell r="C191" t="str">
            <v>05040</v>
          </cell>
          <cell r="D191" t="str">
            <v>6-315</v>
          </cell>
          <cell r="E191" t="str">
            <v>Caño PVC D: 315 mm clase 6</v>
          </cell>
          <cell r="F191" t="str">
            <v>m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</row>
        <row r="192">
          <cell r="A192">
            <v>50.09</v>
          </cell>
          <cell r="C192" t="str">
            <v>05040</v>
          </cell>
          <cell r="D192" t="str">
            <v>900</v>
          </cell>
          <cell r="E192" t="str">
            <v>Ramal 45º D:160 x 110 mm</v>
          </cell>
          <cell r="F192" t="str">
            <v>Nº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</row>
        <row r="193">
          <cell r="A193">
            <v>50.1</v>
          </cell>
          <cell r="C193" t="str">
            <v>05040</v>
          </cell>
          <cell r="D193" t="str">
            <v>902</v>
          </cell>
          <cell r="E193" t="str">
            <v>Ramal 45º D:200 x 110 mm</v>
          </cell>
          <cell r="F193" t="str">
            <v>Nº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</row>
        <row r="194">
          <cell r="A194">
            <v>50.11</v>
          </cell>
          <cell r="C194" t="str">
            <v>05040</v>
          </cell>
          <cell r="D194" t="str">
            <v>904</v>
          </cell>
          <cell r="E194" t="str">
            <v>Ramal 45º D:250 x 110 mm</v>
          </cell>
          <cell r="F194" t="str">
            <v>Nº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</row>
        <row r="195">
          <cell r="A195">
            <v>50.12</v>
          </cell>
          <cell r="C195" t="str">
            <v>05040</v>
          </cell>
          <cell r="D195" t="str">
            <v>906</v>
          </cell>
          <cell r="E195" t="str">
            <v>Ramal 45º D:315 x 110 mm</v>
          </cell>
          <cell r="F195" t="str">
            <v>Nº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</row>
        <row r="196">
          <cell r="A196">
            <v>50.13</v>
          </cell>
          <cell r="C196" t="str">
            <v>05040</v>
          </cell>
          <cell r="D196" t="str">
            <v>D-100</v>
          </cell>
          <cell r="E196" t="str">
            <v>Caño PVC D: 100 mm perforado p/dren</v>
          </cell>
          <cell r="F196" t="str">
            <v>m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A197">
            <v>50.14</v>
          </cell>
          <cell r="C197" t="str">
            <v>05040</v>
          </cell>
          <cell r="D197" t="str">
            <v>D-150</v>
          </cell>
          <cell r="E197" t="str">
            <v>Caño PVC D: 150 mm perforado p/dren</v>
          </cell>
          <cell r="F197" t="str">
            <v>m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A198">
            <v>50.15</v>
          </cell>
          <cell r="C198" t="str">
            <v>05040</v>
          </cell>
          <cell r="D198" t="str">
            <v>D-250</v>
          </cell>
          <cell r="E198" t="str">
            <v>Caño PVC D: 250 mm perforado p/dren</v>
          </cell>
          <cell r="F198" t="str">
            <v>m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</row>
        <row r="199">
          <cell r="A199">
            <v>50.16</v>
          </cell>
          <cell r="C199" t="str">
            <v>05100</v>
          </cell>
          <cell r="D199" t="str">
            <v>10</v>
          </cell>
          <cell r="E199" t="str">
            <v>Tacha reflectiva</v>
          </cell>
          <cell r="F199" t="str">
            <v>Nº</v>
          </cell>
          <cell r="G199">
            <v>18</v>
          </cell>
          <cell r="L199">
            <v>18</v>
          </cell>
          <cell r="M199">
            <v>0</v>
          </cell>
          <cell r="N199">
            <v>0</v>
          </cell>
          <cell r="O199">
            <v>18</v>
          </cell>
          <cell r="P199">
            <v>0</v>
          </cell>
          <cell r="Q199">
            <v>18</v>
          </cell>
        </row>
        <row r="200">
          <cell r="A200">
            <v>50.17</v>
          </cell>
          <cell r="C200" t="str">
            <v>05100</v>
          </cell>
          <cell r="D200" t="str">
            <v>12</v>
          </cell>
          <cell r="E200" t="str">
            <v>Membrana polietileno e:1 mm</v>
          </cell>
          <cell r="F200" t="str">
            <v>m²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</row>
        <row r="201">
          <cell r="A201">
            <v>50.18</v>
          </cell>
          <cell r="C201" t="str">
            <v>01120</v>
          </cell>
          <cell r="D201" t="str">
            <v>10</v>
          </cell>
          <cell r="E201" t="str">
            <v>Apoyo de neoprene</v>
          </cell>
          <cell r="F201" t="str">
            <v>dm³</v>
          </cell>
          <cell r="G201">
            <v>65.05</v>
          </cell>
          <cell r="L201">
            <v>65.05</v>
          </cell>
          <cell r="M201">
            <v>0</v>
          </cell>
          <cell r="N201">
            <v>0</v>
          </cell>
          <cell r="O201">
            <v>65.05</v>
          </cell>
          <cell r="P201">
            <v>0</v>
          </cell>
          <cell r="Q201">
            <v>65.05</v>
          </cell>
        </row>
        <row r="202">
          <cell r="A202">
            <v>50.19</v>
          </cell>
          <cell r="C202" t="str">
            <v>01120</v>
          </cell>
          <cell r="D202" t="str">
            <v>20</v>
          </cell>
          <cell r="E202" t="str">
            <v>Materiales para junta de dilatación</v>
          </cell>
          <cell r="F202" t="str">
            <v>Gl</v>
          </cell>
          <cell r="G202">
            <v>375</v>
          </cell>
          <cell r="L202">
            <v>375</v>
          </cell>
          <cell r="M202">
            <v>0</v>
          </cell>
          <cell r="N202">
            <v>0</v>
          </cell>
          <cell r="O202">
            <v>375</v>
          </cell>
          <cell r="P202">
            <v>0</v>
          </cell>
          <cell r="Q202">
            <v>375</v>
          </cell>
        </row>
        <row r="203">
          <cell r="A203">
            <v>50.2</v>
          </cell>
          <cell r="C203" t="str">
            <v>01120</v>
          </cell>
          <cell r="D203" t="str">
            <v>22</v>
          </cell>
          <cell r="E203" t="str">
            <v>Junta de policloropreno 55 x 60 mm</v>
          </cell>
          <cell r="F203" t="str">
            <v>m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</row>
        <row r="204">
          <cell r="A204">
            <v>50.21</v>
          </cell>
          <cell r="C204" t="str">
            <v>01120</v>
          </cell>
          <cell r="D204" t="str">
            <v>24</v>
          </cell>
          <cell r="E204" t="str">
            <v>Junta dilatación armada tipo FF276</v>
          </cell>
          <cell r="F204" t="str">
            <v>m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</row>
        <row r="205">
          <cell r="A205">
            <v>50.22</v>
          </cell>
          <cell r="C205" t="str">
            <v>01120</v>
          </cell>
          <cell r="D205" t="str">
            <v>26</v>
          </cell>
          <cell r="E205" t="str">
            <v>Perfil soporte p/junta tipo FF276</v>
          </cell>
          <cell r="F205" t="str">
            <v>m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</row>
        <row r="206">
          <cell r="A206">
            <v>50.23</v>
          </cell>
          <cell r="E206" t="str">
            <v>Separador plástico AL 20 mm</v>
          </cell>
          <cell r="F206" t="str">
            <v>Nº</v>
          </cell>
          <cell r="G206">
            <v>0.4</v>
          </cell>
          <cell r="L206">
            <v>0.4</v>
          </cell>
          <cell r="M206">
            <v>0</v>
          </cell>
          <cell r="N206">
            <v>0</v>
          </cell>
          <cell r="O206">
            <v>0.4</v>
          </cell>
          <cell r="P206">
            <v>0</v>
          </cell>
          <cell r="Q206">
            <v>0.4</v>
          </cell>
        </row>
        <row r="207">
          <cell r="A207">
            <v>50.24</v>
          </cell>
          <cell r="E207" t="str">
            <v>Apoyo de neoprene</v>
          </cell>
          <cell r="F207" t="str">
            <v>dm³</v>
          </cell>
          <cell r="G207">
            <v>53.6</v>
          </cell>
          <cell r="L207">
            <v>53.6</v>
          </cell>
          <cell r="M207">
            <v>0</v>
          </cell>
          <cell r="N207">
            <v>0</v>
          </cell>
          <cell r="O207">
            <v>53.6</v>
          </cell>
          <cell r="P207">
            <v>0</v>
          </cell>
          <cell r="Q207">
            <v>53.6</v>
          </cell>
        </row>
        <row r="208">
          <cell r="A208">
            <v>50.25</v>
          </cell>
          <cell r="E208" t="str">
            <v>Placas de neoprene</v>
          </cell>
          <cell r="F208" t="str">
            <v>dm³</v>
          </cell>
          <cell r="G208">
            <v>53.6</v>
          </cell>
          <cell r="L208">
            <v>53.6</v>
          </cell>
          <cell r="M208">
            <v>0</v>
          </cell>
          <cell r="N208">
            <v>0</v>
          </cell>
          <cell r="O208">
            <v>53.6</v>
          </cell>
          <cell r="P208">
            <v>0</v>
          </cell>
          <cell r="Q208">
            <v>53.6</v>
          </cell>
        </row>
        <row r="209">
          <cell r="A209">
            <v>50.26</v>
          </cell>
          <cell r="E209" t="str">
            <v>Caño PVC clase 6 JE d:110 mm e:3.2mm</v>
          </cell>
          <cell r="F209" t="str">
            <v>m</v>
          </cell>
          <cell r="G209">
            <v>4</v>
          </cell>
          <cell r="L209">
            <v>4</v>
          </cell>
          <cell r="M209">
            <v>0</v>
          </cell>
          <cell r="N209">
            <v>0</v>
          </cell>
          <cell r="O209">
            <v>4</v>
          </cell>
          <cell r="P209">
            <v>0</v>
          </cell>
          <cell r="Q209">
            <v>4</v>
          </cell>
        </row>
        <row r="210">
          <cell r="A210">
            <v>60</v>
          </cell>
          <cell r="B210" t="str">
            <v>VIDRIOS Y POLICARBONATOS</v>
          </cell>
        </row>
        <row r="211">
          <cell r="A211">
            <v>60.01</v>
          </cell>
          <cell r="C211" t="str">
            <v>01110</v>
          </cell>
          <cell r="D211" t="str">
            <v>30</v>
          </cell>
          <cell r="E211" t="str">
            <v>Esferillas de vidrio</v>
          </cell>
          <cell r="F211" t="str">
            <v>Kg</v>
          </cell>
          <cell r="G211">
            <v>2.95</v>
          </cell>
          <cell r="K211">
            <v>0.03</v>
          </cell>
          <cell r="L211">
            <v>2.95</v>
          </cell>
          <cell r="M211">
            <v>0</v>
          </cell>
          <cell r="N211">
            <v>0</v>
          </cell>
          <cell r="O211">
            <v>2.95</v>
          </cell>
          <cell r="P211">
            <v>0.09</v>
          </cell>
          <cell r="Q211">
            <v>3.04</v>
          </cell>
        </row>
        <row r="212">
          <cell r="A212">
            <v>70</v>
          </cell>
          <cell r="B212" t="str">
            <v>PRODUCTOS QUIMICOS, ADITIVOS, EXPLOSIVOS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</row>
        <row r="213">
          <cell r="A213">
            <v>70.010000000000005</v>
          </cell>
          <cell r="C213" t="str">
            <v>07010</v>
          </cell>
          <cell r="D213" t="str">
            <v>10</v>
          </cell>
          <cell r="E213" t="str">
            <v>Membrana p/curado hormigón</v>
          </cell>
          <cell r="F213" t="str">
            <v>Lt</v>
          </cell>
          <cell r="G213">
            <v>1.65</v>
          </cell>
          <cell r="L213">
            <v>1.65</v>
          </cell>
          <cell r="M213">
            <v>0</v>
          </cell>
          <cell r="N213">
            <v>0</v>
          </cell>
          <cell r="O213">
            <v>1.65</v>
          </cell>
          <cell r="P213">
            <v>0</v>
          </cell>
          <cell r="Q213">
            <v>1.65</v>
          </cell>
        </row>
        <row r="214">
          <cell r="A214">
            <v>70.02</v>
          </cell>
          <cell r="C214" t="str">
            <v>07010</v>
          </cell>
          <cell r="D214" t="str">
            <v>12</v>
          </cell>
          <cell r="E214" t="str">
            <v>Membrana p/curado hormigón (L.U.)</v>
          </cell>
          <cell r="F214" t="str">
            <v>Lt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</row>
        <row r="215">
          <cell r="A215">
            <v>70.03</v>
          </cell>
          <cell r="C215" t="str">
            <v>07010</v>
          </cell>
          <cell r="D215" t="str">
            <v>14</v>
          </cell>
          <cell r="E215" t="str">
            <v>Membrana p/curado hormigón (S)</v>
          </cell>
          <cell r="F215" t="str">
            <v>Lt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</row>
        <row r="216">
          <cell r="A216">
            <v>70.040000000000006</v>
          </cell>
          <cell r="C216" t="str">
            <v>07010</v>
          </cell>
          <cell r="D216" t="str">
            <v>20</v>
          </cell>
          <cell r="E216" t="str">
            <v>Aditivo p/ hormigón</v>
          </cell>
          <cell r="F216" t="str">
            <v>Lt</v>
          </cell>
          <cell r="G216">
            <v>2.27</v>
          </cell>
          <cell r="K216">
            <v>0.03</v>
          </cell>
          <cell r="L216">
            <v>2.27</v>
          </cell>
          <cell r="M216">
            <v>0</v>
          </cell>
          <cell r="N216">
            <v>0</v>
          </cell>
          <cell r="O216">
            <v>2.27</v>
          </cell>
          <cell r="P216">
            <v>7.0000000000000007E-2</v>
          </cell>
          <cell r="Q216">
            <v>2.34</v>
          </cell>
        </row>
        <row r="217">
          <cell r="A217">
            <v>70.05</v>
          </cell>
          <cell r="C217" t="str">
            <v>07010</v>
          </cell>
          <cell r="D217">
            <v>25</v>
          </cell>
          <cell r="E217" t="str">
            <v>Mejorador de Adherencia</v>
          </cell>
          <cell r="F217" t="str">
            <v>Kg</v>
          </cell>
          <cell r="G217">
            <v>5.6</v>
          </cell>
          <cell r="L217">
            <v>5.6</v>
          </cell>
          <cell r="M217">
            <v>0</v>
          </cell>
          <cell r="N217">
            <v>0</v>
          </cell>
          <cell r="O217">
            <v>5.6</v>
          </cell>
          <cell r="P217">
            <v>0</v>
          </cell>
          <cell r="Q217">
            <v>5.6</v>
          </cell>
        </row>
        <row r="218">
          <cell r="A218">
            <v>70.06</v>
          </cell>
          <cell r="C218" t="str">
            <v>07010</v>
          </cell>
          <cell r="D218" t="str">
            <v>50</v>
          </cell>
          <cell r="E218" t="str">
            <v>Incorporador de aire p/Ho</v>
          </cell>
          <cell r="F218" t="str">
            <v>Kg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</row>
        <row r="219">
          <cell r="A219">
            <v>70.069999999999993</v>
          </cell>
          <cell r="C219" t="str">
            <v>07050</v>
          </cell>
          <cell r="D219" t="str">
            <v>10</v>
          </cell>
          <cell r="E219" t="str">
            <v>Gelamón VF 80% 50 x 490 mm</v>
          </cell>
          <cell r="F219" t="str">
            <v>Kg</v>
          </cell>
          <cell r="G219">
            <v>3.89</v>
          </cell>
          <cell r="L219">
            <v>3.89</v>
          </cell>
          <cell r="M219">
            <v>0</v>
          </cell>
          <cell r="N219">
            <v>0</v>
          </cell>
          <cell r="O219">
            <v>3.89</v>
          </cell>
          <cell r="P219">
            <v>0</v>
          </cell>
          <cell r="Q219">
            <v>3.89</v>
          </cell>
        </row>
        <row r="220">
          <cell r="A220">
            <v>70.08</v>
          </cell>
          <cell r="C220" t="str">
            <v>07060</v>
          </cell>
          <cell r="D220" t="str">
            <v>10</v>
          </cell>
          <cell r="E220" t="str">
            <v>Cordón detonante</v>
          </cell>
          <cell r="F220" t="str">
            <v>m</v>
          </cell>
          <cell r="G220">
            <v>1.01</v>
          </cell>
          <cell r="L220">
            <v>1.01</v>
          </cell>
          <cell r="M220">
            <v>0</v>
          </cell>
          <cell r="N220">
            <v>0</v>
          </cell>
          <cell r="O220">
            <v>1.01</v>
          </cell>
          <cell r="P220">
            <v>0</v>
          </cell>
          <cell r="Q220">
            <v>1.01</v>
          </cell>
        </row>
        <row r="221">
          <cell r="A221">
            <v>70.099999999999994</v>
          </cell>
          <cell r="C221" t="str">
            <v>01090</v>
          </cell>
          <cell r="D221" t="str">
            <v>090</v>
          </cell>
          <cell r="E221" t="str">
            <v>Sellador de juntas de siliconas</v>
          </cell>
          <cell r="F221" t="str">
            <v>Kg</v>
          </cell>
          <cell r="G221">
            <v>4.8</v>
          </cell>
          <cell r="K221">
            <v>0.02</v>
          </cell>
          <cell r="L221">
            <v>4.8</v>
          </cell>
          <cell r="M221">
            <v>0</v>
          </cell>
          <cell r="N221">
            <v>0</v>
          </cell>
          <cell r="O221">
            <v>4.8</v>
          </cell>
          <cell r="P221">
            <v>0.1</v>
          </cell>
          <cell r="Q221">
            <v>4.9000000000000004</v>
          </cell>
        </row>
        <row r="222">
          <cell r="A222">
            <v>70.11</v>
          </cell>
          <cell r="C222" t="str">
            <v>01090</v>
          </cell>
          <cell r="D222" t="str">
            <v>092</v>
          </cell>
          <cell r="E222" t="str">
            <v>Pintura acrilica en frio</v>
          </cell>
          <cell r="F222" t="str">
            <v>Kg</v>
          </cell>
          <cell r="G222">
            <v>15</v>
          </cell>
          <cell r="K222">
            <v>0.03</v>
          </cell>
          <cell r="L222">
            <v>15</v>
          </cell>
          <cell r="M222">
            <v>0</v>
          </cell>
          <cell r="N222">
            <v>0</v>
          </cell>
          <cell r="O222">
            <v>15</v>
          </cell>
          <cell r="P222">
            <v>0.45</v>
          </cell>
          <cell r="Q222">
            <v>15.45</v>
          </cell>
        </row>
        <row r="223">
          <cell r="A223">
            <v>70.12</v>
          </cell>
          <cell r="C223" t="str">
            <v>01110</v>
          </cell>
          <cell r="D223" t="str">
            <v>10</v>
          </cell>
          <cell r="E223" t="str">
            <v>Material termoplastico</v>
          </cell>
          <cell r="F223" t="str">
            <v>Kg</v>
          </cell>
          <cell r="G223">
            <v>3.4</v>
          </cell>
          <cell r="K223">
            <v>0.03</v>
          </cell>
          <cell r="L223">
            <v>3.4</v>
          </cell>
          <cell r="M223">
            <v>0</v>
          </cell>
          <cell r="N223">
            <v>0</v>
          </cell>
          <cell r="O223">
            <v>3.4</v>
          </cell>
          <cell r="P223">
            <v>0.1</v>
          </cell>
          <cell r="Q223">
            <v>3.5</v>
          </cell>
        </row>
        <row r="224">
          <cell r="A224">
            <v>70.13</v>
          </cell>
          <cell r="C224" t="str">
            <v>01110</v>
          </cell>
          <cell r="D224" t="str">
            <v>20</v>
          </cell>
          <cell r="E224" t="str">
            <v>Material imprimador</v>
          </cell>
          <cell r="F224" t="str">
            <v>Lt</v>
          </cell>
          <cell r="G224">
            <v>2.73</v>
          </cell>
          <cell r="K224">
            <v>0.03</v>
          </cell>
          <cell r="L224">
            <v>2.73</v>
          </cell>
          <cell r="M224">
            <v>0</v>
          </cell>
          <cell r="N224">
            <v>0</v>
          </cell>
          <cell r="O224">
            <v>2.73</v>
          </cell>
          <cell r="P224">
            <v>0.08</v>
          </cell>
          <cell r="Q224">
            <v>2.81</v>
          </cell>
        </row>
        <row r="225">
          <cell r="A225">
            <v>70.14</v>
          </cell>
          <cell r="E225" t="str">
            <v>Aditivo superfluidificante</v>
          </cell>
          <cell r="F225" t="str">
            <v>kg</v>
          </cell>
          <cell r="G225">
            <v>1.9</v>
          </cell>
          <cell r="K225">
            <v>0.03</v>
          </cell>
          <cell r="L225">
            <v>1.9</v>
          </cell>
          <cell r="M225">
            <v>0</v>
          </cell>
          <cell r="N225">
            <v>0</v>
          </cell>
          <cell r="O225">
            <v>1.9</v>
          </cell>
          <cell r="P225">
            <v>0.06</v>
          </cell>
          <cell r="Q225">
            <v>1.96</v>
          </cell>
        </row>
        <row r="226">
          <cell r="A226">
            <v>70.150000000000006</v>
          </cell>
          <cell r="E226" t="str">
            <v>Aditivo p/inyecciones expansivas</v>
          </cell>
          <cell r="F226" t="str">
            <v>kg</v>
          </cell>
          <cell r="G226">
            <v>2.85</v>
          </cell>
          <cell r="K226">
            <v>0.03</v>
          </cell>
          <cell r="L226">
            <v>2.85</v>
          </cell>
          <cell r="M226">
            <v>0</v>
          </cell>
          <cell r="N226">
            <v>0</v>
          </cell>
          <cell r="O226">
            <v>2.85</v>
          </cell>
          <cell r="P226">
            <v>0.09</v>
          </cell>
          <cell r="Q226">
            <v>2.94</v>
          </cell>
        </row>
        <row r="227">
          <cell r="A227">
            <v>70.16</v>
          </cell>
          <cell r="E227" t="str">
            <v>Desmoldante p/encofrados</v>
          </cell>
          <cell r="F227" t="str">
            <v>lt</v>
          </cell>
          <cell r="G227">
            <v>1.55</v>
          </cell>
          <cell r="K227">
            <v>0.03</v>
          </cell>
          <cell r="L227">
            <v>1.55</v>
          </cell>
          <cell r="M227">
            <v>0</v>
          </cell>
          <cell r="N227">
            <v>0</v>
          </cell>
          <cell r="O227">
            <v>1.55</v>
          </cell>
          <cell r="P227">
            <v>0.05</v>
          </cell>
          <cell r="Q227">
            <v>1.6</v>
          </cell>
        </row>
        <row r="228"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</row>
        <row r="237">
          <cell r="A237">
            <v>80</v>
          </cell>
          <cell r="B237" t="str">
            <v>AISLANTES HIDRAULICOS, TERMICOS</v>
          </cell>
        </row>
        <row r="238"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</row>
        <row r="239">
          <cell r="A239">
            <v>90</v>
          </cell>
          <cell r="B239" t="str">
            <v>PILOTES</v>
          </cell>
        </row>
        <row r="240">
          <cell r="A240">
            <v>90.01</v>
          </cell>
          <cell r="E240" t="str">
            <v>Ejecución pilotes excavados d:600 mm</v>
          </cell>
          <cell r="F240" t="str">
            <v>m</v>
          </cell>
          <cell r="G240">
            <v>196</v>
          </cell>
          <cell r="L240">
            <v>196</v>
          </cell>
          <cell r="M240">
            <v>0</v>
          </cell>
          <cell r="N240">
            <v>0</v>
          </cell>
          <cell r="O240">
            <v>196</v>
          </cell>
          <cell r="P240">
            <v>0</v>
          </cell>
          <cell r="Q240">
            <v>196</v>
          </cell>
        </row>
        <row r="241">
          <cell r="A241">
            <v>90.02</v>
          </cell>
          <cell r="E241" t="str">
            <v>Ejecución pilotes excavados d:800 mm</v>
          </cell>
          <cell r="F241" t="str">
            <v>m</v>
          </cell>
          <cell r="G241">
            <v>235</v>
          </cell>
          <cell r="L241">
            <v>235</v>
          </cell>
          <cell r="M241">
            <v>0</v>
          </cell>
          <cell r="N241">
            <v>0</v>
          </cell>
          <cell r="O241">
            <v>235</v>
          </cell>
          <cell r="P241">
            <v>0</v>
          </cell>
          <cell r="Q241">
            <v>235</v>
          </cell>
        </row>
        <row r="242">
          <cell r="A242">
            <v>90.03</v>
          </cell>
          <cell r="E242" t="str">
            <v>Ejecución pilotes excavados d:1100 mm</v>
          </cell>
          <cell r="F242" t="str">
            <v>m</v>
          </cell>
          <cell r="G242">
            <v>295</v>
          </cell>
          <cell r="L242">
            <v>295</v>
          </cell>
          <cell r="M242">
            <v>0</v>
          </cell>
          <cell r="N242">
            <v>0</v>
          </cell>
          <cell r="O242">
            <v>295</v>
          </cell>
          <cell r="P242">
            <v>0</v>
          </cell>
          <cell r="Q242">
            <v>295</v>
          </cell>
        </row>
        <row r="243">
          <cell r="A243">
            <v>90.04</v>
          </cell>
          <cell r="E243" t="str">
            <v>Ejecución pilotes excavados d:1400 mm</v>
          </cell>
          <cell r="F243" t="str">
            <v>m</v>
          </cell>
          <cell r="G243">
            <v>354</v>
          </cell>
          <cell r="L243">
            <v>354</v>
          </cell>
          <cell r="M243">
            <v>0</v>
          </cell>
          <cell r="N243">
            <v>0</v>
          </cell>
          <cell r="O243">
            <v>354</v>
          </cell>
          <cell r="P243">
            <v>0</v>
          </cell>
          <cell r="Q243">
            <v>354</v>
          </cell>
        </row>
        <row r="244">
          <cell r="A244">
            <v>90.05</v>
          </cell>
          <cell r="E244" t="str">
            <v>Movilizacion p/ ejecución pilotes</v>
          </cell>
          <cell r="F244" t="str">
            <v>Gl</v>
          </cell>
          <cell r="G244">
            <v>10000</v>
          </cell>
          <cell r="L244">
            <v>10000</v>
          </cell>
          <cell r="M244">
            <v>0</v>
          </cell>
          <cell r="N244">
            <v>0</v>
          </cell>
          <cell r="O244">
            <v>10000</v>
          </cell>
          <cell r="P244">
            <v>0</v>
          </cell>
          <cell r="Q244">
            <v>10000</v>
          </cell>
        </row>
        <row r="245">
          <cell r="A245">
            <v>90.06</v>
          </cell>
          <cell r="E245" t="str">
            <v>Ensayo de pilote d &gt; 750 mm</v>
          </cell>
          <cell r="F245" t="str">
            <v>Nº</v>
          </cell>
          <cell r="G245">
            <v>105</v>
          </cell>
          <cell r="L245">
            <v>105</v>
          </cell>
          <cell r="M245">
            <v>0</v>
          </cell>
          <cell r="N245">
            <v>0</v>
          </cell>
          <cell r="O245">
            <v>105</v>
          </cell>
          <cell r="P245">
            <v>0</v>
          </cell>
          <cell r="Q245">
            <v>105</v>
          </cell>
        </row>
        <row r="246">
          <cell r="A246">
            <v>90.07</v>
          </cell>
          <cell r="E246" t="str">
            <v>Ensayo de pilote d &lt; 750 mm</v>
          </cell>
          <cell r="F246" t="str">
            <v>Nº</v>
          </cell>
          <cell r="G246">
            <v>66</v>
          </cell>
          <cell r="L246">
            <v>66</v>
          </cell>
          <cell r="M246">
            <v>0</v>
          </cell>
          <cell r="N246">
            <v>0</v>
          </cell>
          <cell r="O246">
            <v>66</v>
          </cell>
          <cell r="P246">
            <v>0</v>
          </cell>
          <cell r="Q246">
            <v>66</v>
          </cell>
        </row>
        <row r="247">
          <cell r="A247">
            <v>90.08</v>
          </cell>
          <cell r="E247" t="str">
            <v>Provisión elementos y equipos p/pretensado</v>
          </cell>
          <cell r="F247" t="str">
            <v>kg</v>
          </cell>
          <cell r="G247">
            <v>2.5499999999999998</v>
          </cell>
          <cell r="L247">
            <v>2.5499999999999998</v>
          </cell>
          <cell r="M247">
            <v>0</v>
          </cell>
          <cell r="N247">
            <v>0</v>
          </cell>
          <cell r="O247">
            <v>2.5499999999999998</v>
          </cell>
          <cell r="P247">
            <v>0</v>
          </cell>
          <cell r="Q247">
            <v>2.5499999999999998</v>
          </cell>
        </row>
        <row r="248">
          <cell r="A248">
            <v>100</v>
          </cell>
          <cell r="B248" t="str">
            <v>MOLDEADOS Y PANELES</v>
          </cell>
        </row>
        <row r="249">
          <cell r="A249">
            <v>100.01</v>
          </cell>
          <cell r="C249" t="str">
            <v>10040</v>
          </cell>
          <cell r="D249" t="str">
            <v>001</v>
          </cell>
          <cell r="E249" t="str">
            <v>Cenefa premoldeada</v>
          </cell>
          <cell r="F249" t="str">
            <v>m³</v>
          </cell>
          <cell r="G249">
            <v>1600</v>
          </cell>
          <cell r="L249">
            <v>1600</v>
          </cell>
          <cell r="M249">
            <v>0</v>
          </cell>
          <cell r="N249">
            <v>0</v>
          </cell>
          <cell r="O249">
            <v>1600</v>
          </cell>
          <cell r="P249">
            <v>0</v>
          </cell>
          <cell r="Q249">
            <v>1600</v>
          </cell>
        </row>
        <row r="250">
          <cell r="A250">
            <v>100.02</v>
          </cell>
          <cell r="C250" t="str">
            <v>10040</v>
          </cell>
          <cell r="D250" t="str">
            <v>10</v>
          </cell>
          <cell r="E250" t="str">
            <v>Viga premoldeada L: 25.90 m, h: 1.15 m</v>
          </cell>
          <cell r="F250" t="str">
            <v>Nº</v>
          </cell>
          <cell r="G250">
            <v>13120</v>
          </cell>
          <cell r="L250">
            <v>13120</v>
          </cell>
          <cell r="M250">
            <v>0</v>
          </cell>
          <cell r="N250">
            <v>0</v>
          </cell>
          <cell r="O250">
            <v>13120</v>
          </cell>
          <cell r="P250">
            <v>0</v>
          </cell>
          <cell r="Q250">
            <v>13120</v>
          </cell>
        </row>
        <row r="251">
          <cell r="A251">
            <v>100.03</v>
          </cell>
          <cell r="C251" t="str">
            <v>10040</v>
          </cell>
          <cell r="D251" t="str">
            <v>500</v>
          </cell>
          <cell r="E251" t="str">
            <v>Viga premoldeada L: 23.60 m, h: 1.15 m</v>
          </cell>
          <cell r="F251" t="str">
            <v>Nº</v>
          </cell>
          <cell r="G251">
            <v>11400</v>
          </cell>
          <cell r="L251">
            <v>11400</v>
          </cell>
          <cell r="M251">
            <v>0</v>
          </cell>
          <cell r="N251">
            <v>0</v>
          </cell>
          <cell r="O251">
            <v>11400</v>
          </cell>
          <cell r="P251">
            <v>0</v>
          </cell>
          <cell r="Q251">
            <v>11400</v>
          </cell>
        </row>
        <row r="252">
          <cell r="A252">
            <v>100.04</v>
          </cell>
          <cell r="C252" t="str">
            <v>10090</v>
          </cell>
          <cell r="D252" t="str">
            <v>040</v>
          </cell>
          <cell r="E252" t="str">
            <v>Viga premoldeada L: 15.00 m, h: 0.90 m</v>
          </cell>
          <cell r="F252" t="str">
            <v>Nº</v>
          </cell>
          <cell r="G252">
            <v>6660</v>
          </cell>
          <cell r="L252">
            <v>6660</v>
          </cell>
          <cell r="M252">
            <v>0</v>
          </cell>
          <cell r="N252">
            <v>0</v>
          </cell>
          <cell r="O252">
            <v>6660</v>
          </cell>
          <cell r="P252">
            <v>0</v>
          </cell>
          <cell r="Q252">
            <v>6660</v>
          </cell>
        </row>
        <row r="253">
          <cell r="A253">
            <v>100.05</v>
          </cell>
          <cell r="C253" t="str">
            <v>10090</v>
          </cell>
          <cell r="D253" t="str">
            <v>050</v>
          </cell>
          <cell r="E253" t="str">
            <v>Escamas</v>
          </cell>
          <cell r="F253" t="str">
            <v>m²</v>
          </cell>
          <cell r="G253">
            <v>70</v>
          </cell>
          <cell r="L253">
            <v>70</v>
          </cell>
          <cell r="M253">
            <v>0</v>
          </cell>
          <cell r="N253">
            <v>0</v>
          </cell>
          <cell r="O253">
            <v>70</v>
          </cell>
          <cell r="P253">
            <v>0</v>
          </cell>
          <cell r="Q253">
            <v>70</v>
          </cell>
        </row>
        <row r="254">
          <cell r="A254">
            <v>100.06</v>
          </cell>
          <cell r="C254" t="str">
            <v>10090</v>
          </cell>
          <cell r="D254" t="str">
            <v>060</v>
          </cell>
          <cell r="E254" t="str">
            <v>Armaduras alta adherencia y accesorios</v>
          </cell>
          <cell r="F254" t="str">
            <v>m²</v>
          </cell>
          <cell r="G254">
            <v>99</v>
          </cell>
          <cell r="L254">
            <v>99</v>
          </cell>
          <cell r="M254">
            <v>0</v>
          </cell>
          <cell r="N254">
            <v>0</v>
          </cell>
          <cell r="O254">
            <v>99</v>
          </cell>
          <cell r="P254">
            <v>0</v>
          </cell>
          <cell r="Q254">
            <v>99</v>
          </cell>
        </row>
        <row r="255">
          <cell r="A255">
            <v>100.07</v>
          </cell>
          <cell r="C255" t="str">
            <v>10090</v>
          </cell>
          <cell r="D255" t="str">
            <v>080</v>
          </cell>
          <cell r="E255" t="str">
            <v>Caño HoSo 0.80 m</v>
          </cell>
          <cell r="F255" t="str">
            <v>m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</row>
        <row r="256">
          <cell r="A256">
            <v>100.08</v>
          </cell>
          <cell r="C256" t="str">
            <v>10090</v>
          </cell>
          <cell r="D256" t="str">
            <v>100</v>
          </cell>
          <cell r="E256" t="str">
            <v>Caño HoSo 1.00 m</v>
          </cell>
          <cell r="F256" t="str">
            <v>m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</row>
        <row r="257">
          <cell r="A257">
            <v>100.09</v>
          </cell>
          <cell r="C257" t="str">
            <v>10090</v>
          </cell>
          <cell r="D257" t="str">
            <v>120</v>
          </cell>
          <cell r="E257" t="str">
            <v>Caño HoSo 1.20 m</v>
          </cell>
          <cell r="F257" t="str">
            <v>m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</row>
        <row r="258">
          <cell r="A258">
            <v>100.1</v>
          </cell>
          <cell r="C258" t="str">
            <v>10100</v>
          </cell>
          <cell r="D258" t="str">
            <v>040</v>
          </cell>
          <cell r="E258" t="str">
            <v>Caño HoAo 0.40 m</v>
          </cell>
          <cell r="F258" t="str">
            <v>m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</row>
        <row r="259">
          <cell r="A259">
            <v>100.11</v>
          </cell>
          <cell r="C259" t="str">
            <v>10100</v>
          </cell>
          <cell r="D259" t="str">
            <v>050</v>
          </cell>
          <cell r="E259" t="str">
            <v>Caño HoAo 0.50 m</v>
          </cell>
          <cell r="F259" t="str">
            <v>m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</row>
        <row r="260">
          <cell r="A260">
            <v>100.12</v>
          </cell>
          <cell r="C260" t="str">
            <v>10100</v>
          </cell>
          <cell r="D260" t="str">
            <v>060</v>
          </cell>
          <cell r="E260" t="str">
            <v>Caño HoAo 0.60 m</v>
          </cell>
          <cell r="F260" t="str">
            <v>m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</row>
        <row r="261">
          <cell r="A261">
            <v>100.13</v>
          </cell>
          <cell r="C261" t="str">
            <v>10100</v>
          </cell>
          <cell r="D261" t="str">
            <v>070</v>
          </cell>
          <cell r="E261" t="str">
            <v>Caño HoAo 0.80 m</v>
          </cell>
          <cell r="F261" t="str">
            <v>m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</row>
        <row r="262">
          <cell r="A262">
            <v>100.14</v>
          </cell>
          <cell r="C262" t="str">
            <v>10100</v>
          </cell>
          <cell r="D262" t="str">
            <v>080</v>
          </cell>
          <cell r="E262" t="str">
            <v>Caño HoAo 0.90 m</v>
          </cell>
          <cell r="F262" t="str">
            <v>m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</row>
        <row r="263">
          <cell r="A263">
            <v>100.15</v>
          </cell>
          <cell r="C263" t="str">
            <v>10100</v>
          </cell>
          <cell r="D263" t="str">
            <v>100</v>
          </cell>
          <cell r="E263" t="str">
            <v>Caño HoAo 1.00 m</v>
          </cell>
          <cell r="F263" t="str">
            <v>m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</row>
        <row r="264">
          <cell r="A264">
            <v>100.16</v>
          </cell>
          <cell r="C264" t="str">
            <v>10100</v>
          </cell>
          <cell r="D264" t="str">
            <v>120</v>
          </cell>
          <cell r="E264" t="str">
            <v>Caño HoAo 1.10 m</v>
          </cell>
          <cell r="F264" t="str">
            <v>m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</row>
        <row r="265">
          <cell r="A265">
            <v>100.17</v>
          </cell>
          <cell r="C265" t="str">
            <v>10100</v>
          </cell>
          <cell r="D265" t="str">
            <v>JE-050</v>
          </cell>
          <cell r="E265" t="str">
            <v>Caño HoAo 1.20 m</v>
          </cell>
          <cell r="F265" t="str">
            <v>m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</row>
        <row r="266">
          <cell r="A266">
            <v>100.18</v>
          </cell>
          <cell r="C266" t="str">
            <v>10100</v>
          </cell>
          <cell r="D266" t="str">
            <v>JE-060</v>
          </cell>
          <cell r="E266" t="str">
            <v>Caño HoAo 0.60 m (junta elástica)</v>
          </cell>
          <cell r="F266" t="str">
            <v>m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</row>
        <row r="267">
          <cell r="A267">
            <v>100.19</v>
          </cell>
          <cell r="C267" t="str">
            <v>10100</v>
          </cell>
          <cell r="D267" t="str">
            <v>JE-070</v>
          </cell>
          <cell r="E267" t="str">
            <v>Caño HoAo 0.70 m (junta elástica)</v>
          </cell>
          <cell r="F267" t="str">
            <v>m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</row>
        <row r="268">
          <cell r="A268">
            <v>100.2</v>
          </cell>
          <cell r="C268" t="str">
            <v>10100</v>
          </cell>
          <cell r="D268" t="str">
            <v>JE-080</v>
          </cell>
          <cell r="E268" t="str">
            <v>Caño HoAo 0.80 m (junta elástica)</v>
          </cell>
          <cell r="F268" t="str">
            <v>m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</row>
        <row r="269">
          <cell r="A269">
            <v>100.21</v>
          </cell>
          <cell r="C269" t="str">
            <v>10100</v>
          </cell>
          <cell r="D269" t="str">
            <v>JE-100</v>
          </cell>
          <cell r="E269" t="str">
            <v>Caño HoAo 1.00 m (junta elástica)</v>
          </cell>
          <cell r="F269" t="str">
            <v>m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</row>
        <row r="270">
          <cell r="A270">
            <v>110</v>
          </cell>
          <cell r="B270" t="str">
            <v>PAVIMENTOS Y PISOS</v>
          </cell>
        </row>
        <row r="271">
          <cell r="A271">
            <v>120</v>
          </cell>
          <cell r="B271" t="str">
            <v>CUBIERTAS Y TECHOS</v>
          </cell>
        </row>
        <row r="272">
          <cell r="A272">
            <v>120.01</v>
          </cell>
          <cell r="C272" t="str">
            <v>12020</v>
          </cell>
          <cell r="D272" t="str">
            <v>10</v>
          </cell>
          <cell r="E272" t="str">
            <v>Techo parabólico</v>
          </cell>
          <cell r="F272" t="str">
            <v>m²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</row>
        <row r="273">
          <cell r="A273">
            <v>120.02</v>
          </cell>
          <cell r="C273" t="str">
            <v>12020</v>
          </cell>
          <cell r="D273" t="str">
            <v>12</v>
          </cell>
          <cell r="E273" t="str">
            <v>Techo a dos aguas</v>
          </cell>
          <cell r="F273" t="str">
            <v>m²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</row>
        <row r="274">
          <cell r="A274">
            <v>190</v>
          </cell>
          <cell r="B274" t="str">
            <v>EXTERIORES Y JARDINES</v>
          </cell>
        </row>
        <row r="275">
          <cell r="A275">
            <v>190.01</v>
          </cell>
          <cell r="C275" t="str">
            <v>19070</v>
          </cell>
          <cell r="D275" t="str">
            <v>10</v>
          </cell>
          <cell r="E275" t="str">
            <v>Césped en panes</v>
          </cell>
          <cell r="F275" t="str">
            <v>m²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</row>
        <row r="276">
          <cell r="A276">
            <v>190.02</v>
          </cell>
          <cell r="C276" t="str">
            <v>19070</v>
          </cell>
          <cell r="D276" t="str">
            <v>11</v>
          </cell>
          <cell r="E276" t="str">
            <v>Arboles de 2 años</v>
          </cell>
          <cell r="F276" t="str">
            <v>Nº</v>
          </cell>
          <cell r="G276">
            <v>25</v>
          </cell>
          <cell r="K276">
            <v>0.05</v>
          </cell>
          <cell r="L276">
            <v>25</v>
          </cell>
          <cell r="M276">
            <v>0</v>
          </cell>
          <cell r="N276">
            <v>0</v>
          </cell>
          <cell r="O276">
            <v>25</v>
          </cell>
          <cell r="P276">
            <v>1.25</v>
          </cell>
          <cell r="Q276">
            <v>26.25</v>
          </cell>
        </row>
        <row r="277">
          <cell r="A277">
            <v>190.03</v>
          </cell>
          <cell r="C277" t="str">
            <v>19070</v>
          </cell>
          <cell r="D277" t="str">
            <v>12</v>
          </cell>
          <cell r="E277" t="str">
            <v>Sembrado de césped</v>
          </cell>
          <cell r="F277" t="str">
            <v>m²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</row>
        <row r="278">
          <cell r="A278">
            <v>190.04</v>
          </cell>
          <cell r="C278" t="str">
            <v>19100</v>
          </cell>
          <cell r="D278" t="str">
            <v>150</v>
          </cell>
          <cell r="E278" t="str">
            <v>Torniquete doble Nº 1,5</v>
          </cell>
          <cell r="F278" t="str">
            <v>Nº</v>
          </cell>
          <cell r="G278">
            <v>4.55</v>
          </cell>
          <cell r="L278">
            <v>4.55</v>
          </cell>
          <cell r="M278">
            <v>0</v>
          </cell>
          <cell r="N278">
            <v>0</v>
          </cell>
          <cell r="O278">
            <v>4.55</v>
          </cell>
          <cell r="P278">
            <v>0</v>
          </cell>
          <cell r="Q278">
            <v>4.55</v>
          </cell>
        </row>
        <row r="279">
          <cell r="A279">
            <v>190.05</v>
          </cell>
          <cell r="C279" t="str">
            <v>19100</v>
          </cell>
          <cell r="D279" t="str">
            <v>160</v>
          </cell>
          <cell r="E279" t="str">
            <v>Torniquete al aire</v>
          </cell>
          <cell r="F279" t="str">
            <v>Nº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</row>
        <row r="280">
          <cell r="A280">
            <v>190.06</v>
          </cell>
          <cell r="C280" t="str">
            <v>19100</v>
          </cell>
          <cell r="D280" t="str">
            <v>252</v>
          </cell>
          <cell r="E280" t="str">
            <v>Tranquera L= 3.00 m</v>
          </cell>
          <cell r="F280" t="str">
            <v>Nº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</row>
        <row r="281">
          <cell r="A281">
            <v>190.07</v>
          </cell>
          <cell r="C281" t="str">
            <v>19100</v>
          </cell>
          <cell r="D281" t="str">
            <v>254</v>
          </cell>
          <cell r="E281" t="str">
            <v>Tranquera L= 4.00 m</v>
          </cell>
          <cell r="F281" t="str">
            <v>Nº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</row>
        <row r="282">
          <cell r="A282">
            <v>200</v>
          </cell>
          <cell r="B282" t="str">
            <v>EQUIPAMIENTOS Y ARTEFACTOS</v>
          </cell>
        </row>
        <row r="283">
          <cell r="A283">
            <v>200.01</v>
          </cell>
          <cell r="E283" t="str">
            <v>Artefacto p/ alumbrado público SAP 400 w</v>
          </cell>
          <cell r="F283" t="str">
            <v>Nº</v>
          </cell>
          <cell r="G283">
            <v>506.7</v>
          </cell>
          <cell r="L283">
            <v>506.7</v>
          </cell>
          <cell r="M283">
            <v>0</v>
          </cell>
          <cell r="N283">
            <v>0</v>
          </cell>
          <cell r="O283">
            <v>506.7</v>
          </cell>
          <cell r="P283">
            <v>0</v>
          </cell>
          <cell r="Q283">
            <v>506.7</v>
          </cell>
        </row>
        <row r="284">
          <cell r="A284">
            <v>200.02</v>
          </cell>
          <cell r="E284" t="str">
            <v>Artefacto p/ alumbrado público SAP 250 w</v>
          </cell>
          <cell r="F284" t="str">
            <v>Nº</v>
          </cell>
          <cell r="G284">
            <v>337</v>
          </cell>
          <cell r="L284">
            <v>337</v>
          </cell>
          <cell r="M284">
            <v>0</v>
          </cell>
          <cell r="N284">
            <v>0</v>
          </cell>
          <cell r="O284">
            <v>337</v>
          </cell>
          <cell r="P284">
            <v>0</v>
          </cell>
          <cell r="Q284">
            <v>337</v>
          </cell>
        </row>
        <row r="285">
          <cell r="A285">
            <v>200.03</v>
          </cell>
          <cell r="E285" t="str">
            <v>Artefacto p/ alumbrado público SAP 150 w</v>
          </cell>
          <cell r="F285" t="str">
            <v>Nº</v>
          </cell>
          <cell r="G285">
            <v>287.8</v>
          </cell>
          <cell r="L285">
            <v>287.8</v>
          </cell>
          <cell r="M285">
            <v>0</v>
          </cell>
          <cell r="N285">
            <v>0</v>
          </cell>
          <cell r="O285">
            <v>287.8</v>
          </cell>
          <cell r="P285">
            <v>0</v>
          </cell>
          <cell r="Q285">
            <v>287.8</v>
          </cell>
        </row>
        <row r="286">
          <cell r="A286">
            <v>200.04</v>
          </cell>
          <cell r="E286" t="str">
            <v>Artefacto p/ alumbrado público VHg 250 w</v>
          </cell>
          <cell r="F286" t="str">
            <v>Nº</v>
          </cell>
          <cell r="G286">
            <v>329.7</v>
          </cell>
          <cell r="L286">
            <v>329.7</v>
          </cell>
          <cell r="M286">
            <v>0</v>
          </cell>
          <cell r="N286">
            <v>0</v>
          </cell>
          <cell r="O286">
            <v>329.7</v>
          </cell>
          <cell r="P286">
            <v>0</v>
          </cell>
          <cell r="Q286">
            <v>329.7</v>
          </cell>
        </row>
        <row r="287">
          <cell r="A287">
            <v>210</v>
          </cell>
          <cell r="B287" t="str">
            <v>ELECTRICIDAD</v>
          </cell>
        </row>
        <row r="288">
          <cell r="A288">
            <v>210.01</v>
          </cell>
          <cell r="C288" t="str">
            <v>Tablero col. ilum, acometida y PAT</v>
          </cell>
          <cell r="D288" t="str">
            <v>Tablero col. ilum, acometida y PAT</v>
          </cell>
          <cell r="E288" t="str">
            <v>Tablero de columna, con bornes y fusibles para 1 artef. 400w</v>
          </cell>
          <cell r="F288" t="str">
            <v>Nº</v>
          </cell>
          <cell r="G288">
            <v>39</v>
          </cell>
          <cell r="L288">
            <v>39</v>
          </cell>
          <cell r="M288">
            <v>0</v>
          </cell>
          <cell r="N288">
            <v>0</v>
          </cell>
          <cell r="O288">
            <v>39</v>
          </cell>
          <cell r="P288">
            <v>0</v>
          </cell>
          <cell r="Q288">
            <v>39</v>
          </cell>
        </row>
        <row r="289">
          <cell r="A289">
            <v>210.02</v>
          </cell>
          <cell r="E289" t="str">
            <v>Jabalina 3/4" x 1.50 m</v>
          </cell>
          <cell r="F289" t="str">
            <v>Nº</v>
          </cell>
          <cell r="G289">
            <v>51</v>
          </cell>
          <cell r="L289">
            <v>51</v>
          </cell>
          <cell r="M289">
            <v>0</v>
          </cell>
          <cell r="N289">
            <v>0</v>
          </cell>
          <cell r="O289">
            <v>51</v>
          </cell>
          <cell r="P289">
            <v>0</v>
          </cell>
          <cell r="Q289">
            <v>51</v>
          </cell>
        </row>
        <row r="290">
          <cell r="A290">
            <v>210.03</v>
          </cell>
          <cell r="E290" t="str">
            <v>Célula fotoeléctrica</v>
          </cell>
          <cell r="F290" t="str">
            <v>Nº</v>
          </cell>
          <cell r="G290">
            <v>12</v>
          </cell>
          <cell r="L290">
            <v>12</v>
          </cell>
          <cell r="M290">
            <v>0</v>
          </cell>
          <cell r="N290">
            <v>0</v>
          </cell>
          <cell r="O290">
            <v>12</v>
          </cell>
          <cell r="P290">
            <v>0</v>
          </cell>
          <cell r="Q290">
            <v>12</v>
          </cell>
        </row>
        <row r="291">
          <cell r="A291">
            <v>210.04</v>
          </cell>
          <cell r="E291" t="str">
            <v>Cable Cu 4x4 mm²</v>
          </cell>
          <cell r="F291" t="str">
            <v>m</v>
          </cell>
          <cell r="G291">
            <v>3.74</v>
          </cell>
          <cell r="L291">
            <v>3.74</v>
          </cell>
          <cell r="M291">
            <v>0</v>
          </cell>
          <cell r="N291">
            <v>0</v>
          </cell>
          <cell r="O291">
            <v>3.74</v>
          </cell>
          <cell r="P291">
            <v>0</v>
          </cell>
          <cell r="Q291">
            <v>3.74</v>
          </cell>
        </row>
        <row r="292">
          <cell r="A292">
            <v>210.05</v>
          </cell>
          <cell r="E292" t="str">
            <v>Cable Cu 3x2,5 mm²</v>
          </cell>
          <cell r="F292" t="str">
            <v>m</v>
          </cell>
          <cell r="G292">
            <v>2.8</v>
          </cell>
          <cell r="L292">
            <v>2.8</v>
          </cell>
          <cell r="M292">
            <v>0</v>
          </cell>
          <cell r="N292">
            <v>0</v>
          </cell>
          <cell r="O292">
            <v>2.8</v>
          </cell>
          <cell r="P292">
            <v>0</v>
          </cell>
          <cell r="Q292">
            <v>2.8</v>
          </cell>
        </row>
        <row r="293">
          <cell r="A293">
            <v>210.06</v>
          </cell>
          <cell r="E293" t="str">
            <v>Cable Cu 4x6 mm²</v>
          </cell>
          <cell r="F293" t="str">
            <v>m</v>
          </cell>
          <cell r="G293">
            <v>5.61</v>
          </cell>
          <cell r="L293">
            <v>5.61</v>
          </cell>
          <cell r="M293">
            <v>0</v>
          </cell>
          <cell r="N293">
            <v>0</v>
          </cell>
          <cell r="O293">
            <v>5.61</v>
          </cell>
          <cell r="P293">
            <v>0</v>
          </cell>
          <cell r="Q293">
            <v>5.61</v>
          </cell>
        </row>
        <row r="294">
          <cell r="A294">
            <v>210.07</v>
          </cell>
          <cell r="E294" t="str">
            <v>Cable Cu 4x10 mm²</v>
          </cell>
          <cell r="F294" t="str">
            <v>m</v>
          </cell>
          <cell r="G294">
            <v>8.7200000000000006</v>
          </cell>
          <cell r="L294">
            <v>8.7200000000000006</v>
          </cell>
          <cell r="M294">
            <v>0</v>
          </cell>
          <cell r="N294">
            <v>0</v>
          </cell>
          <cell r="O294">
            <v>8.7200000000000006</v>
          </cell>
          <cell r="P294">
            <v>0</v>
          </cell>
          <cell r="Q294">
            <v>8.7200000000000006</v>
          </cell>
        </row>
        <row r="295">
          <cell r="A295">
            <v>210.08</v>
          </cell>
          <cell r="E295" t="str">
            <v>Cable Cu 4x16 mm²</v>
          </cell>
          <cell r="F295" t="str">
            <v>m</v>
          </cell>
          <cell r="G295">
            <v>13.3</v>
          </cell>
          <cell r="L295">
            <v>13.3</v>
          </cell>
          <cell r="M295">
            <v>0</v>
          </cell>
          <cell r="N295">
            <v>0</v>
          </cell>
          <cell r="O295">
            <v>13.3</v>
          </cell>
          <cell r="P295">
            <v>0</v>
          </cell>
          <cell r="Q295">
            <v>13.3</v>
          </cell>
        </row>
        <row r="296">
          <cell r="A296">
            <v>210.09</v>
          </cell>
          <cell r="E296" t="str">
            <v>Cable Cu 3x25/16 mm²</v>
          </cell>
          <cell r="F296" t="str">
            <v>m</v>
          </cell>
          <cell r="G296">
            <v>19.829999999999998</v>
          </cell>
          <cell r="L296">
            <v>19.829999999999998</v>
          </cell>
          <cell r="M296">
            <v>0</v>
          </cell>
          <cell r="N296">
            <v>0</v>
          </cell>
          <cell r="O296">
            <v>19.829999999999998</v>
          </cell>
          <cell r="P296">
            <v>0</v>
          </cell>
          <cell r="Q296">
            <v>19.829999999999998</v>
          </cell>
        </row>
        <row r="297">
          <cell r="A297">
            <v>210.1</v>
          </cell>
          <cell r="E297" t="str">
            <v>Cable de control de encendido 3x2,5 mm²</v>
          </cell>
          <cell r="F297" t="str">
            <v>m</v>
          </cell>
          <cell r="G297">
            <v>2.8</v>
          </cell>
          <cell r="L297">
            <v>2.8</v>
          </cell>
          <cell r="M297">
            <v>0</v>
          </cell>
          <cell r="N297">
            <v>0</v>
          </cell>
          <cell r="O297">
            <v>2.8</v>
          </cell>
          <cell r="P297">
            <v>0</v>
          </cell>
          <cell r="Q297">
            <v>2.8</v>
          </cell>
        </row>
        <row r="298">
          <cell r="A298">
            <v>210.11</v>
          </cell>
          <cell r="E298" t="str">
            <v>Tablero de potencia</v>
          </cell>
          <cell r="F298" t="str">
            <v>m</v>
          </cell>
          <cell r="G298">
            <v>10500</v>
          </cell>
          <cell r="L298">
            <v>10500</v>
          </cell>
          <cell r="M298">
            <v>0</v>
          </cell>
          <cell r="N298">
            <v>0</v>
          </cell>
          <cell r="O298">
            <v>10500</v>
          </cell>
          <cell r="P298">
            <v>0</v>
          </cell>
          <cell r="Q298">
            <v>10500</v>
          </cell>
        </row>
        <row r="299">
          <cell r="A299">
            <v>210.12</v>
          </cell>
          <cell r="E299" t="str">
            <v>Cable de Cu desnudo 1 x 35 mm²</v>
          </cell>
          <cell r="F299" t="str">
            <v>m</v>
          </cell>
          <cell r="G299">
            <v>5.22</v>
          </cell>
          <cell r="L299">
            <v>5.22</v>
          </cell>
          <cell r="M299">
            <v>0</v>
          </cell>
          <cell r="N299">
            <v>0</v>
          </cell>
          <cell r="O299">
            <v>5.22</v>
          </cell>
          <cell r="P299">
            <v>0</v>
          </cell>
          <cell r="Q299">
            <v>5.22</v>
          </cell>
        </row>
        <row r="300">
          <cell r="A300">
            <v>210.13</v>
          </cell>
          <cell r="E300" t="str">
            <v>Cable Cu 3x185/120 mm²</v>
          </cell>
          <cell r="F300" t="str">
            <v>m</v>
          </cell>
          <cell r="G300">
            <v>126.6</v>
          </cell>
          <cell r="L300">
            <v>126.6</v>
          </cell>
          <cell r="M300">
            <v>0</v>
          </cell>
          <cell r="N300">
            <v>0</v>
          </cell>
          <cell r="O300">
            <v>126.6</v>
          </cell>
          <cell r="P300">
            <v>0</v>
          </cell>
          <cell r="Q300">
            <v>126.6</v>
          </cell>
        </row>
        <row r="301">
          <cell r="A301">
            <v>900</v>
          </cell>
          <cell r="B301" t="str">
            <v>VARIOS</v>
          </cell>
        </row>
        <row r="302">
          <cell r="A302">
            <v>900.01</v>
          </cell>
          <cell r="C302">
            <v>99000</v>
          </cell>
          <cell r="D302">
            <v>20</v>
          </cell>
          <cell r="E302" t="str">
            <v>Alquiler de vivienda</v>
          </cell>
          <cell r="F302" t="str">
            <v>mes</v>
          </cell>
          <cell r="G302">
            <v>650</v>
          </cell>
          <cell r="L302">
            <v>650</v>
          </cell>
          <cell r="M302">
            <v>0</v>
          </cell>
          <cell r="N302">
            <v>0</v>
          </cell>
          <cell r="O302">
            <v>650</v>
          </cell>
          <cell r="P302">
            <v>0</v>
          </cell>
          <cell r="Q302">
            <v>650</v>
          </cell>
        </row>
        <row r="303">
          <cell r="A303">
            <v>900.02</v>
          </cell>
          <cell r="C303">
            <v>99000</v>
          </cell>
          <cell r="E303" t="str">
            <v>Mantenimiento y servicios vivienda</v>
          </cell>
          <cell r="F303" t="str">
            <v>mes</v>
          </cell>
          <cell r="G303">
            <v>1500</v>
          </cell>
          <cell r="L303">
            <v>1500</v>
          </cell>
          <cell r="M303">
            <v>0</v>
          </cell>
          <cell r="N303">
            <v>0</v>
          </cell>
          <cell r="O303">
            <v>1500</v>
          </cell>
          <cell r="P303">
            <v>0</v>
          </cell>
          <cell r="Q303">
            <v>1500</v>
          </cell>
        </row>
        <row r="304">
          <cell r="A304">
            <v>900.03</v>
          </cell>
          <cell r="C304">
            <v>99000</v>
          </cell>
          <cell r="E304" t="str">
            <v>Equipamiento informático</v>
          </cell>
          <cell r="F304" t="str">
            <v>Gl</v>
          </cell>
          <cell r="G304">
            <v>85000</v>
          </cell>
          <cell r="L304">
            <v>85000</v>
          </cell>
          <cell r="M304">
            <v>0</v>
          </cell>
          <cell r="N304">
            <v>0</v>
          </cell>
          <cell r="O304">
            <v>85000</v>
          </cell>
          <cell r="P304">
            <v>0</v>
          </cell>
          <cell r="Q304">
            <v>85000</v>
          </cell>
        </row>
        <row r="305">
          <cell r="A305">
            <v>900.04</v>
          </cell>
          <cell r="C305">
            <v>99000</v>
          </cell>
          <cell r="E305" t="str">
            <v>Equipamiento de comunicaciones</v>
          </cell>
          <cell r="F305" t="str">
            <v>Gl</v>
          </cell>
          <cell r="G305">
            <v>4800</v>
          </cell>
          <cell r="L305">
            <v>4800</v>
          </cell>
          <cell r="M305">
            <v>0</v>
          </cell>
          <cell r="N305">
            <v>0</v>
          </cell>
          <cell r="O305">
            <v>4800</v>
          </cell>
          <cell r="P305">
            <v>0</v>
          </cell>
          <cell r="Q305">
            <v>4800</v>
          </cell>
        </row>
        <row r="306">
          <cell r="A306">
            <v>900.05</v>
          </cell>
          <cell r="C306">
            <v>99000</v>
          </cell>
          <cell r="E306" t="str">
            <v>Derecho de Cantera (suelo p/terraplén)</v>
          </cell>
          <cell r="F306" t="str">
            <v>m³</v>
          </cell>
          <cell r="G306">
            <v>0.3</v>
          </cell>
          <cell r="L306">
            <v>0.3</v>
          </cell>
          <cell r="M306">
            <v>0</v>
          </cell>
          <cell r="N306">
            <v>0</v>
          </cell>
          <cell r="O306">
            <v>0.3</v>
          </cell>
          <cell r="P306">
            <v>0</v>
          </cell>
          <cell r="Q306">
            <v>0.3</v>
          </cell>
        </row>
        <row r="307">
          <cell r="A307">
            <v>900.06</v>
          </cell>
          <cell r="E307" t="str">
            <v>Equipamiento topografía y varios</v>
          </cell>
          <cell r="F307" t="str">
            <v>Gl</v>
          </cell>
          <cell r="G307">
            <v>46300</v>
          </cell>
          <cell r="L307">
            <v>46300</v>
          </cell>
          <cell r="M307">
            <v>0</v>
          </cell>
          <cell r="N307">
            <v>0</v>
          </cell>
          <cell r="O307">
            <v>46300</v>
          </cell>
          <cell r="P307">
            <v>0</v>
          </cell>
          <cell r="Q307">
            <v>46300</v>
          </cell>
        </row>
        <row r="308">
          <cell r="A308">
            <v>900.07</v>
          </cell>
          <cell r="E308" t="str">
            <v>Esmalte sintético</v>
          </cell>
          <cell r="F308" t="str">
            <v>Lt</v>
          </cell>
          <cell r="G308">
            <v>16</v>
          </cell>
          <cell r="L308">
            <v>16</v>
          </cell>
          <cell r="M308">
            <v>0</v>
          </cell>
          <cell r="N308">
            <v>0</v>
          </cell>
          <cell r="O308">
            <v>16</v>
          </cell>
          <cell r="P308">
            <v>0</v>
          </cell>
          <cell r="Q308">
            <v>16</v>
          </cell>
        </row>
        <row r="309">
          <cell r="A309">
            <v>900.08</v>
          </cell>
          <cell r="E309" t="str">
            <v>Moldes metálicos p/columnas</v>
          </cell>
          <cell r="F309" t="str">
            <v>Nº</v>
          </cell>
          <cell r="G309">
            <v>10000</v>
          </cell>
          <cell r="L309">
            <v>10000</v>
          </cell>
          <cell r="M309">
            <v>0</v>
          </cell>
          <cell r="N309">
            <v>0</v>
          </cell>
          <cell r="O309">
            <v>10000</v>
          </cell>
          <cell r="P309">
            <v>0</v>
          </cell>
          <cell r="Q309">
            <v>10000</v>
          </cell>
        </row>
        <row r="310">
          <cell r="A310">
            <v>900.09</v>
          </cell>
          <cell r="E310" t="str">
            <v>Derecho de Cantera Broza</v>
          </cell>
          <cell r="F310" t="str">
            <v>m3</v>
          </cell>
          <cell r="G310">
            <v>1.95</v>
          </cell>
          <cell r="L310">
            <v>1.95</v>
          </cell>
          <cell r="M310">
            <v>0</v>
          </cell>
          <cell r="N310">
            <v>0</v>
          </cell>
          <cell r="O310">
            <v>1.95</v>
          </cell>
          <cell r="P310">
            <v>0</v>
          </cell>
          <cell r="Q310">
            <v>1.95</v>
          </cell>
        </row>
        <row r="311">
          <cell r="A311">
            <v>900.1</v>
          </cell>
          <cell r="E311" t="str">
            <v>Pórticos para movimiento de viga</v>
          </cell>
          <cell r="F311" t="str">
            <v>Nº</v>
          </cell>
          <cell r="G311">
            <v>15000</v>
          </cell>
          <cell r="L311">
            <v>15000</v>
          </cell>
          <cell r="M311">
            <v>0</v>
          </cell>
          <cell r="N311">
            <v>0</v>
          </cell>
          <cell r="O311">
            <v>15000</v>
          </cell>
          <cell r="P311">
            <v>0</v>
          </cell>
          <cell r="Q311">
            <v>15000</v>
          </cell>
        </row>
        <row r="312">
          <cell r="A312">
            <v>900.11</v>
          </cell>
          <cell r="E312" t="str">
            <v>Remociones varias</v>
          </cell>
          <cell r="F312" t="str">
            <v>Nº</v>
          </cell>
          <cell r="G312">
            <v>18369</v>
          </cell>
          <cell r="L312">
            <v>18369</v>
          </cell>
          <cell r="M312">
            <v>0</v>
          </cell>
          <cell r="N312">
            <v>0</v>
          </cell>
          <cell r="O312">
            <v>18369</v>
          </cell>
          <cell r="P312">
            <v>0</v>
          </cell>
          <cell r="Q312">
            <v>18369</v>
          </cell>
        </row>
        <row r="313">
          <cell r="A313">
            <v>900.12</v>
          </cell>
          <cell r="E313" t="str">
            <v>Traslado instalaciones de gas</v>
          </cell>
          <cell r="F313" t="str">
            <v>Nº</v>
          </cell>
          <cell r="G313">
            <v>2509500</v>
          </cell>
          <cell r="L313">
            <v>2509500</v>
          </cell>
          <cell r="M313">
            <v>0</v>
          </cell>
          <cell r="N313">
            <v>0</v>
          </cell>
          <cell r="O313">
            <v>2509500</v>
          </cell>
          <cell r="P313">
            <v>0</v>
          </cell>
          <cell r="Q313">
            <v>2509500</v>
          </cell>
        </row>
        <row r="314">
          <cell r="A314">
            <v>900.13</v>
          </cell>
          <cell r="E314" t="str">
            <v>Traslado de línea de MT / BT</v>
          </cell>
          <cell r="F314" t="str">
            <v>Gl</v>
          </cell>
          <cell r="G314">
            <v>95300</v>
          </cell>
          <cell r="L314">
            <v>95300</v>
          </cell>
          <cell r="M314">
            <v>0</v>
          </cell>
          <cell r="N314">
            <v>0</v>
          </cell>
          <cell r="O314">
            <v>95300</v>
          </cell>
          <cell r="P314">
            <v>0</v>
          </cell>
          <cell r="Q314">
            <v>95300</v>
          </cell>
        </row>
        <row r="315">
          <cell r="A315">
            <v>900.14</v>
          </cell>
          <cell r="E315" t="str">
            <v>Traslado de línea aérea de AT</v>
          </cell>
          <cell r="F315" t="str">
            <v>Gl</v>
          </cell>
          <cell r="G315">
            <v>287000</v>
          </cell>
          <cell r="L315">
            <v>287000</v>
          </cell>
          <cell r="M315">
            <v>0</v>
          </cell>
          <cell r="N315">
            <v>0</v>
          </cell>
          <cell r="O315">
            <v>287000</v>
          </cell>
          <cell r="P315">
            <v>0</v>
          </cell>
          <cell r="Q315">
            <v>287000</v>
          </cell>
        </row>
        <row r="316">
          <cell r="A316">
            <v>900.15</v>
          </cell>
          <cell r="C316">
            <v>99000</v>
          </cell>
          <cell r="E316" t="str">
            <v>Derecho de Cantera (suelo seleccionado)</v>
          </cell>
          <cell r="F316" t="str">
            <v>m³</v>
          </cell>
          <cell r="G316">
            <v>0.5</v>
          </cell>
          <cell r="L316">
            <v>0.5</v>
          </cell>
          <cell r="M316">
            <v>0</v>
          </cell>
          <cell r="N316">
            <v>0</v>
          </cell>
          <cell r="O316">
            <v>0.5</v>
          </cell>
          <cell r="P316">
            <v>0</v>
          </cell>
          <cell r="Q316">
            <v>0.5</v>
          </cell>
        </row>
        <row r="317">
          <cell r="A317">
            <v>900.16</v>
          </cell>
          <cell r="E317" t="str">
            <v>Geotextil no tejido 150 gr/m2</v>
          </cell>
          <cell r="F317" t="str">
            <v>m²</v>
          </cell>
          <cell r="G317">
            <v>1.71</v>
          </cell>
          <cell r="L317">
            <v>1.71</v>
          </cell>
          <cell r="M317">
            <v>0</v>
          </cell>
          <cell r="N317">
            <v>0</v>
          </cell>
          <cell r="O317">
            <v>1.71</v>
          </cell>
          <cell r="P317">
            <v>0</v>
          </cell>
          <cell r="Q317">
            <v>1.71</v>
          </cell>
        </row>
        <row r="318">
          <cell r="A318">
            <v>900.17</v>
          </cell>
          <cell r="E318" t="str">
            <v>Puntal telescópico E-3L</v>
          </cell>
          <cell r="F318" t="str">
            <v>Nº</v>
          </cell>
          <cell r="G318">
            <v>180</v>
          </cell>
          <cell r="L318">
            <v>180</v>
          </cell>
          <cell r="M318">
            <v>0</v>
          </cell>
          <cell r="N318">
            <v>0</v>
          </cell>
          <cell r="O318">
            <v>180</v>
          </cell>
          <cell r="P318">
            <v>0</v>
          </cell>
          <cell r="Q318">
            <v>180</v>
          </cell>
        </row>
        <row r="319">
          <cell r="A319">
            <v>900.18</v>
          </cell>
          <cell r="E319" t="str">
            <v>Cámara de inspección con tapa p/cámara</v>
          </cell>
          <cell r="F319" t="str">
            <v>U.</v>
          </cell>
          <cell r="G319">
            <v>400</v>
          </cell>
          <cell r="L319">
            <v>400</v>
          </cell>
          <cell r="M319">
            <v>0</v>
          </cell>
          <cell r="N319">
            <v>0</v>
          </cell>
          <cell r="O319">
            <v>400</v>
          </cell>
          <cell r="P319">
            <v>0</v>
          </cell>
          <cell r="Q319">
            <v>400</v>
          </cell>
        </row>
        <row r="321">
          <cell r="A321">
            <v>900.98</v>
          </cell>
          <cell r="E321" t="str">
            <v>Gastos Varios</v>
          </cell>
          <cell r="F321" t="str">
            <v>Gl</v>
          </cell>
          <cell r="G321">
            <v>10000</v>
          </cell>
          <cell r="L321">
            <v>10000</v>
          </cell>
          <cell r="M321">
            <v>0</v>
          </cell>
          <cell r="N321">
            <v>0</v>
          </cell>
          <cell r="O321">
            <v>10000</v>
          </cell>
          <cell r="P321">
            <v>0</v>
          </cell>
          <cell r="Q321">
            <v>10000</v>
          </cell>
        </row>
        <row r="322">
          <cell r="A322">
            <v>900.99</v>
          </cell>
          <cell r="E322" t="str">
            <v>Materiales Varios</v>
          </cell>
          <cell r="F322" t="str">
            <v>Gl</v>
          </cell>
          <cell r="G322">
            <v>100</v>
          </cell>
          <cell r="L322">
            <v>100</v>
          </cell>
          <cell r="M322">
            <v>0</v>
          </cell>
          <cell r="N322">
            <v>0</v>
          </cell>
          <cell r="O322">
            <v>100</v>
          </cell>
          <cell r="P322">
            <v>0</v>
          </cell>
          <cell r="Q322">
            <v>100</v>
          </cell>
        </row>
        <row r="324">
          <cell r="A324">
            <v>999</v>
          </cell>
          <cell r="B324" t="str">
            <v>AUXILIARES</v>
          </cell>
        </row>
        <row r="325">
          <cell r="A325">
            <v>999.01</v>
          </cell>
          <cell r="E325" t="str">
            <v>Terraplén de avance p/ pilotaje</v>
          </cell>
          <cell r="F325" t="str">
            <v>m³</v>
          </cell>
          <cell r="G325">
            <v>11.83</v>
          </cell>
          <cell r="L325">
            <v>11.83</v>
          </cell>
          <cell r="M325">
            <v>0</v>
          </cell>
          <cell r="N325">
            <v>0</v>
          </cell>
          <cell r="O325">
            <v>11.83</v>
          </cell>
          <cell r="P325">
            <v>0</v>
          </cell>
          <cell r="Q325">
            <v>11.83</v>
          </cell>
        </row>
        <row r="326">
          <cell r="A326">
            <v>999.02</v>
          </cell>
          <cell r="E326" t="e">
            <v>#REF!</v>
          </cell>
          <cell r="F326" t="e">
            <v>#REF!</v>
          </cell>
          <cell r="G326" t="e">
            <v>#REF!</v>
          </cell>
          <cell r="L326" t="e">
            <v>#REF!</v>
          </cell>
          <cell r="M326">
            <v>0</v>
          </cell>
          <cell r="N326">
            <v>0</v>
          </cell>
          <cell r="O326" t="e">
            <v>#REF!</v>
          </cell>
          <cell r="P326" t="e">
            <v>#REF!</v>
          </cell>
          <cell r="Q326" t="e">
            <v>#REF!</v>
          </cell>
        </row>
        <row r="327">
          <cell r="A327">
            <v>999.03</v>
          </cell>
          <cell r="E327" t="e">
            <v>#REF!</v>
          </cell>
          <cell r="F327" t="e">
            <v>#REF!</v>
          </cell>
          <cell r="G327" t="e">
            <v>#REF!</v>
          </cell>
          <cell r="L327" t="e">
            <v>#REF!</v>
          </cell>
          <cell r="M327">
            <v>0</v>
          </cell>
          <cell r="N327">
            <v>0</v>
          </cell>
          <cell r="O327" t="e">
            <v>#REF!</v>
          </cell>
          <cell r="P327" t="e">
            <v>#REF!</v>
          </cell>
          <cell r="Q327" t="e">
            <v>#REF!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o"/>
      <sheetName val="CV"/>
      <sheetName val="PT"/>
      <sheetName val="Tpte"/>
      <sheetName val="Datos"/>
      <sheetName val="Carta Oferta (Anexo 1)"/>
      <sheetName val="Anexo Nº2-Adj I"/>
      <sheetName val="CI - $"/>
      <sheetName val="CI - %"/>
      <sheetName val="MdO "/>
      <sheetName val="Mat"/>
      <sheetName val="Eq"/>
      <sheetName val="CR"/>
      <sheetName val="1.1"/>
      <sheetName val="1.2"/>
      <sheetName val="2.1"/>
      <sheetName val="2.2"/>
      <sheetName val="2.3"/>
      <sheetName val="2.4"/>
      <sheetName val="2.5"/>
      <sheetName val="2.6"/>
      <sheetName val="2.7"/>
      <sheetName val="2.8"/>
      <sheetName val="2.9"/>
      <sheetName val="3.1"/>
      <sheetName val="3.2"/>
      <sheetName val="3.3"/>
      <sheetName val="3.4"/>
      <sheetName val="4.1"/>
      <sheetName val="4.3"/>
      <sheetName val="4.4"/>
      <sheetName val="4.5"/>
      <sheetName val="5.1"/>
      <sheetName val="5.2"/>
      <sheetName val="5.3"/>
      <sheetName val="5.4"/>
      <sheetName val="5.5"/>
      <sheetName val="5.6"/>
      <sheetName val="5.7"/>
      <sheetName val="6.1.1"/>
      <sheetName val="6.2.1"/>
      <sheetName val="6.2.2"/>
      <sheetName val="6.2.3"/>
      <sheetName val="6.2.4"/>
      <sheetName val="6.3.1"/>
      <sheetName val="6.3.2"/>
      <sheetName val="6.3.3"/>
      <sheetName val="6.3.4"/>
      <sheetName val="6.3.5"/>
      <sheetName val="6.3.6"/>
      <sheetName val="6.3.7"/>
      <sheetName val="6.4.1"/>
      <sheetName val="6.4.2"/>
      <sheetName val="6.4.3"/>
      <sheetName val="6.4.4"/>
      <sheetName val="6.4.5"/>
      <sheetName val="6.4.6"/>
      <sheetName val="6.4.7"/>
      <sheetName val="6.4.8"/>
      <sheetName val="6.4.9"/>
      <sheetName val="6.4.10"/>
      <sheetName val="6.4.11"/>
      <sheetName val="6.5.1"/>
      <sheetName val="6.5.2"/>
      <sheetName val="6.5.3"/>
      <sheetName val="6.5.4"/>
      <sheetName val="6.5.5"/>
      <sheetName val="6.5.6"/>
      <sheetName val="6.6.1"/>
      <sheetName val="6.6.2"/>
      <sheetName val="6.6.3"/>
      <sheetName val="6.6.4"/>
      <sheetName val="6.6.5"/>
      <sheetName val="7.1.1"/>
      <sheetName val="7.1.2"/>
      <sheetName val="7.1.3"/>
      <sheetName val="7.1.4"/>
      <sheetName val="7.1.5"/>
      <sheetName val="7.2.1"/>
      <sheetName val="7.2.2"/>
      <sheetName val="7.3.1"/>
      <sheetName val="7.3.2"/>
      <sheetName val="7.3.3"/>
      <sheetName val="7.3.4"/>
      <sheetName val="7.3.5"/>
      <sheetName val="7.3.6"/>
      <sheetName val="7.3.7"/>
      <sheetName val="7.4.1"/>
      <sheetName val="7.4.2"/>
      <sheetName val="7.4.3"/>
      <sheetName val="7.4.4"/>
      <sheetName val="7.4.5"/>
      <sheetName val="7.4.6"/>
      <sheetName val="7.4.7"/>
      <sheetName val="7.4.8"/>
      <sheetName val="7.4.9"/>
      <sheetName val="7.4.10"/>
      <sheetName val="7.4.11"/>
      <sheetName val="8.1.1"/>
      <sheetName val="8.1.2"/>
      <sheetName val="8.1.3"/>
      <sheetName val="8.2.1"/>
      <sheetName val="8.2.2"/>
      <sheetName val="8.2.3"/>
      <sheetName val="8.2.4"/>
      <sheetName val="8.2.5"/>
      <sheetName val="8.2.6"/>
      <sheetName val="8.2.7"/>
      <sheetName val="8.2.8"/>
      <sheetName val="8.2.9"/>
      <sheetName val="8.2.10"/>
      <sheetName val="8.2.11"/>
      <sheetName val="8.2.12"/>
      <sheetName val="8.2.13"/>
      <sheetName val="8.3.1"/>
      <sheetName val="8.3.2"/>
      <sheetName val="8.4.1"/>
      <sheetName val="8.4.2"/>
      <sheetName val="8.4.3"/>
      <sheetName val="8.5"/>
      <sheetName val="8.6"/>
      <sheetName val="8.7"/>
      <sheetName val="9.1.1"/>
      <sheetName val="9.2.1"/>
      <sheetName val="9.2.2"/>
      <sheetName val="9.2.3"/>
      <sheetName val="9.3.1"/>
      <sheetName val="9.3.2"/>
      <sheetName val="9.4.1"/>
      <sheetName val="9.4.2"/>
      <sheetName val="9.4.3"/>
      <sheetName val="9.4.4"/>
      <sheetName val="9.4.5"/>
      <sheetName val="9.4.6"/>
      <sheetName val="9.4.7"/>
      <sheetName val="9.5.1"/>
      <sheetName val="9.5.2"/>
      <sheetName val="9.5.3"/>
      <sheetName val="10.1"/>
      <sheetName val="10.2"/>
      <sheetName val="10.3"/>
      <sheetName val="10.4"/>
      <sheetName val="10.5"/>
      <sheetName val="10.6"/>
      <sheetName val="11.1"/>
      <sheetName val="11.2"/>
      <sheetName val="11.3"/>
      <sheetName val="11.4"/>
      <sheetName val="11.5"/>
      <sheetName val="11.6"/>
      <sheetName val="11.7"/>
      <sheetName val="11.8"/>
      <sheetName val="11.9"/>
      <sheetName val="11.10"/>
      <sheetName val="11.11"/>
      <sheetName val="11.12"/>
      <sheetName val="11.13"/>
      <sheetName val="11.14"/>
      <sheetName val="11.15"/>
      <sheetName val="12.1"/>
      <sheetName val="13.1"/>
      <sheetName val="13.2"/>
      <sheetName val="13.3"/>
      <sheetName val="13.4"/>
      <sheetName val="14.1"/>
      <sheetName val="14.2"/>
      <sheetName val="15.1.1"/>
      <sheetName val="15.1.2"/>
      <sheetName val="15.1.3"/>
      <sheetName val="15.2"/>
      <sheetName val="15.3"/>
      <sheetName val="interf. VALE"/>
      <sheetName val="Rubro y Componente"/>
      <sheetName val="Rubro y Componente (sin act.)"/>
      <sheetName val="Validac. Redet. Analisis."/>
    </sheetNames>
    <sheetDataSet>
      <sheetData sheetId="0" refreshError="1">
        <row r="12">
          <cell r="D12">
            <v>0.2</v>
          </cell>
        </row>
        <row r="18">
          <cell r="D18">
            <v>0.3</v>
          </cell>
        </row>
        <row r="19">
          <cell r="D19">
            <v>0.1</v>
          </cell>
        </row>
        <row r="25">
          <cell r="A25">
            <v>0</v>
          </cell>
          <cell r="B25" t="str">
            <v xml:space="preserve"> </v>
          </cell>
        </row>
        <row r="26">
          <cell r="A26">
            <v>1</v>
          </cell>
          <cell r="B26" t="str">
            <v>Cargador frontal</v>
          </cell>
          <cell r="C26">
            <v>118</v>
          </cell>
          <cell r="D26">
            <v>100000</v>
          </cell>
          <cell r="E26">
            <v>1530000</v>
          </cell>
          <cell r="F26">
            <v>160.65</v>
          </cell>
          <cell r="G26">
            <v>120.49</v>
          </cell>
          <cell r="H26">
            <v>287.16000000000003</v>
          </cell>
          <cell r="I26">
            <v>568.29999999999995</v>
          </cell>
          <cell r="J26" t="str">
            <v>E-1</v>
          </cell>
          <cell r="K26">
            <v>0</v>
          </cell>
        </row>
        <row r="27">
          <cell r="A27">
            <v>2</v>
          </cell>
          <cell r="B27" t="str">
            <v>Cargador frontal</v>
          </cell>
          <cell r="C27">
            <v>160</v>
          </cell>
          <cell r="D27">
            <v>100000</v>
          </cell>
          <cell r="E27">
            <v>1530000</v>
          </cell>
          <cell r="F27">
            <v>160.65</v>
          </cell>
          <cell r="G27">
            <v>120.49</v>
          </cell>
          <cell r="H27">
            <v>389.38</v>
          </cell>
          <cell r="I27">
            <v>670.52</v>
          </cell>
          <cell r="J27" t="str">
            <v>E-2</v>
          </cell>
          <cell r="K27">
            <v>0</v>
          </cell>
        </row>
        <row r="28">
          <cell r="A28">
            <v>3</v>
          </cell>
          <cell r="B28" t="str">
            <v>Cargador frontal</v>
          </cell>
          <cell r="C28">
            <v>160</v>
          </cell>
          <cell r="D28">
            <v>154100</v>
          </cell>
          <cell r="E28">
            <v>2357700</v>
          </cell>
          <cell r="F28">
            <v>247.56</v>
          </cell>
          <cell r="G28">
            <v>185.67</v>
          </cell>
          <cell r="H28">
            <v>389.38</v>
          </cell>
          <cell r="I28">
            <v>822.61</v>
          </cell>
          <cell r="J28" t="str">
            <v>E-3</v>
          </cell>
          <cell r="K28">
            <v>0</v>
          </cell>
        </row>
        <row r="29">
          <cell r="A29">
            <v>4</v>
          </cell>
          <cell r="B29" t="str">
            <v>Cargador frontal</v>
          </cell>
          <cell r="C29">
            <v>140</v>
          </cell>
          <cell r="D29">
            <v>175380.00000000003</v>
          </cell>
          <cell r="E29">
            <v>2683300</v>
          </cell>
          <cell r="F29">
            <v>281.75</v>
          </cell>
          <cell r="G29">
            <v>211.31</v>
          </cell>
          <cell r="H29">
            <v>340.7</v>
          </cell>
          <cell r="I29">
            <v>833.76</v>
          </cell>
          <cell r="J29" t="str">
            <v>E-4</v>
          </cell>
          <cell r="K29">
            <v>0</v>
          </cell>
        </row>
        <row r="30">
          <cell r="A30">
            <v>5</v>
          </cell>
          <cell r="B30" t="str">
            <v>Cargador frontal</v>
          </cell>
          <cell r="C30">
            <v>192</v>
          </cell>
          <cell r="D30">
            <v>317000</v>
          </cell>
          <cell r="E30">
            <v>4850100</v>
          </cell>
          <cell r="F30">
            <v>509.26</v>
          </cell>
          <cell r="G30">
            <v>381.95</v>
          </cell>
          <cell r="H30">
            <v>467.25</v>
          </cell>
          <cell r="I30">
            <v>1358.46</v>
          </cell>
          <cell r="J30" t="str">
            <v>E-5</v>
          </cell>
          <cell r="K30">
            <v>0</v>
          </cell>
        </row>
        <row r="31">
          <cell r="A31">
            <v>6</v>
          </cell>
          <cell r="B31" t="str">
            <v>Cargador frontal</v>
          </cell>
          <cell r="C31">
            <v>270</v>
          </cell>
          <cell r="D31">
            <v>310000</v>
          </cell>
          <cell r="E31">
            <v>4743000</v>
          </cell>
          <cell r="F31">
            <v>498.02</v>
          </cell>
          <cell r="G31">
            <v>373.52</v>
          </cell>
          <cell r="H31">
            <v>657.07</v>
          </cell>
          <cell r="I31">
            <v>1528.6100000000001</v>
          </cell>
          <cell r="J31" t="str">
            <v>E-6</v>
          </cell>
          <cell r="K31">
            <v>0</v>
          </cell>
        </row>
        <row r="32">
          <cell r="A32">
            <v>7</v>
          </cell>
          <cell r="B32" t="str">
            <v>Mini cargadora</v>
          </cell>
          <cell r="C32">
            <v>50</v>
          </cell>
          <cell r="D32">
            <v>43500</v>
          </cell>
          <cell r="E32">
            <v>665600</v>
          </cell>
          <cell r="F32">
            <v>69.89</v>
          </cell>
          <cell r="G32">
            <v>52.42</v>
          </cell>
          <cell r="H32">
            <v>121.68</v>
          </cell>
          <cell r="I32">
            <v>243.99</v>
          </cell>
          <cell r="J32" t="str">
            <v>E-7</v>
          </cell>
          <cell r="K32">
            <v>0</v>
          </cell>
        </row>
        <row r="33">
          <cell r="A33">
            <v>8</v>
          </cell>
          <cell r="B33" t="str">
            <v>Topadora</v>
          </cell>
          <cell r="C33">
            <v>165</v>
          </cell>
          <cell r="D33">
            <v>144000</v>
          </cell>
          <cell r="E33">
            <v>2203200</v>
          </cell>
          <cell r="F33">
            <v>231.34</v>
          </cell>
          <cell r="G33">
            <v>173.51</v>
          </cell>
          <cell r="H33">
            <v>401.54</v>
          </cell>
          <cell r="I33">
            <v>806.3900000000001</v>
          </cell>
          <cell r="J33" t="str">
            <v>E-8</v>
          </cell>
          <cell r="K33">
            <v>0</v>
          </cell>
        </row>
        <row r="34">
          <cell r="A34">
            <v>9</v>
          </cell>
          <cell r="B34" t="str">
            <v>Topadora</v>
          </cell>
          <cell r="C34">
            <v>335</v>
          </cell>
          <cell r="D34">
            <v>448800</v>
          </cell>
          <cell r="E34">
            <v>6866600</v>
          </cell>
          <cell r="F34">
            <v>720.99</v>
          </cell>
          <cell r="G34">
            <v>540.74</v>
          </cell>
          <cell r="H34">
            <v>815.26</v>
          </cell>
          <cell r="I34">
            <v>2076.9899999999998</v>
          </cell>
          <cell r="J34" t="str">
            <v>E-9</v>
          </cell>
          <cell r="K34">
            <v>0</v>
          </cell>
        </row>
        <row r="35">
          <cell r="A35">
            <v>10</v>
          </cell>
          <cell r="B35" t="str">
            <v>Topadora</v>
          </cell>
          <cell r="C35">
            <v>230</v>
          </cell>
          <cell r="D35">
            <v>400000</v>
          </cell>
          <cell r="E35">
            <v>6120000</v>
          </cell>
          <cell r="F35">
            <v>642.6</v>
          </cell>
          <cell r="G35">
            <v>481.95</v>
          </cell>
          <cell r="H35">
            <v>559.73</v>
          </cell>
          <cell r="I35">
            <v>1684.28</v>
          </cell>
          <cell r="J35" t="str">
            <v>E-10</v>
          </cell>
          <cell r="K35">
            <v>0</v>
          </cell>
        </row>
        <row r="36">
          <cell r="A36">
            <v>11</v>
          </cell>
          <cell r="B36" t="str">
            <v>Retroexcavadora</v>
          </cell>
          <cell r="C36">
            <v>148</v>
          </cell>
          <cell r="D36">
            <v>240000</v>
          </cell>
          <cell r="E36">
            <v>3672000</v>
          </cell>
          <cell r="F36">
            <v>385.56</v>
          </cell>
          <cell r="G36">
            <v>289.17</v>
          </cell>
          <cell r="H36">
            <v>360.17</v>
          </cell>
          <cell r="I36">
            <v>1034.9000000000001</v>
          </cell>
          <cell r="J36" t="str">
            <v>E-11</v>
          </cell>
          <cell r="K36">
            <v>0</v>
          </cell>
        </row>
        <row r="37">
          <cell r="A37">
            <v>12</v>
          </cell>
          <cell r="B37" t="str">
            <v>Retroexcavadora</v>
          </cell>
          <cell r="C37">
            <v>148</v>
          </cell>
          <cell r="D37">
            <v>240000</v>
          </cell>
          <cell r="E37">
            <v>3672000</v>
          </cell>
          <cell r="F37">
            <v>385.56</v>
          </cell>
          <cell r="G37">
            <v>289.17</v>
          </cell>
          <cell r="H37">
            <v>360.17</v>
          </cell>
          <cell r="I37">
            <v>1034.9000000000001</v>
          </cell>
          <cell r="J37" t="str">
            <v>E-12</v>
          </cell>
          <cell r="K37">
            <v>0</v>
          </cell>
        </row>
        <row r="38">
          <cell r="A38">
            <v>13</v>
          </cell>
          <cell r="B38" t="str">
            <v>Retroexcavadora</v>
          </cell>
          <cell r="C38">
            <v>148</v>
          </cell>
          <cell r="D38">
            <v>240000</v>
          </cell>
          <cell r="E38">
            <v>3672000</v>
          </cell>
          <cell r="F38">
            <v>385.56</v>
          </cell>
          <cell r="G38">
            <v>289.17</v>
          </cell>
          <cell r="H38">
            <v>360.17</v>
          </cell>
          <cell r="I38">
            <v>1034.9000000000001</v>
          </cell>
          <cell r="J38" t="str">
            <v>E-13</v>
          </cell>
          <cell r="K38">
            <v>0</v>
          </cell>
        </row>
        <row r="39">
          <cell r="A39">
            <v>14</v>
          </cell>
          <cell r="B39" t="str">
            <v>Retroexcavadora</v>
          </cell>
          <cell r="C39">
            <v>168</v>
          </cell>
          <cell r="D39">
            <v>155400</v>
          </cell>
          <cell r="E39">
            <v>2377600</v>
          </cell>
          <cell r="F39">
            <v>249.65</v>
          </cell>
          <cell r="G39">
            <v>187.24</v>
          </cell>
          <cell r="H39">
            <v>408.84</v>
          </cell>
          <cell r="I39">
            <v>845.73</v>
          </cell>
          <cell r="J39" t="str">
            <v>E-14</v>
          </cell>
          <cell r="K39">
            <v>0</v>
          </cell>
        </row>
        <row r="40">
          <cell r="A40">
            <v>15</v>
          </cell>
          <cell r="B40" t="str">
            <v>Retroexcavadora</v>
          </cell>
          <cell r="C40">
            <v>268</v>
          </cell>
          <cell r="D40">
            <v>375000</v>
          </cell>
          <cell r="E40">
            <v>5737500</v>
          </cell>
          <cell r="F40">
            <v>602.44000000000005</v>
          </cell>
          <cell r="G40">
            <v>451.83</v>
          </cell>
          <cell r="H40">
            <v>652.20000000000005</v>
          </cell>
          <cell r="I40">
            <v>1706.47</v>
          </cell>
          <cell r="J40" t="str">
            <v>E-15</v>
          </cell>
          <cell r="K40">
            <v>0</v>
          </cell>
        </row>
        <row r="41">
          <cell r="A41">
            <v>16</v>
          </cell>
          <cell r="B41" t="str">
            <v>Retroexcavadora</v>
          </cell>
          <cell r="C41">
            <v>148</v>
          </cell>
          <cell r="D41">
            <v>240000</v>
          </cell>
          <cell r="E41">
            <v>3672000</v>
          </cell>
          <cell r="F41">
            <v>385.56</v>
          </cell>
          <cell r="G41">
            <v>289.17</v>
          </cell>
          <cell r="H41">
            <v>360.17</v>
          </cell>
          <cell r="I41">
            <v>1034.9000000000001</v>
          </cell>
          <cell r="J41" t="str">
            <v>E-16</v>
          </cell>
          <cell r="K41">
            <v>0</v>
          </cell>
        </row>
        <row r="42">
          <cell r="A42">
            <v>17</v>
          </cell>
          <cell r="B42" t="str">
            <v>Cargador frontal c/ retro</v>
          </cell>
          <cell r="C42">
            <v>74</v>
          </cell>
          <cell r="D42">
            <v>118000</v>
          </cell>
          <cell r="E42">
            <v>1805400</v>
          </cell>
          <cell r="F42">
            <v>189.57</v>
          </cell>
          <cell r="G42">
            <v>142.18</v>
          </cell>
          <cell r="H42">
            <v>180.09</v>
          </cell>
          <cell r="I42">
            <v>511.84000000000003</v>
          </cell>
          <cell r="J42" t="str">
            <v>E-17</v>
          </cell>
          <cell r="K42">
            <v>0</v>
          </cell>
        </row>
        <row r="43">
          <cell r="A43">
            <v>18</v>
          </cell>
          <cell r="B43" t="str">
            <v>Motoniveladora</v>
          </cell>
          <cell r="C43">
            <v>200</v>
          </cell>
          <cell r="D43">
            <v>289000</v>
          </cell>
          <cell r="E43">
            <v>4421700</v>
          </cell>
          <cell r="F43">
            <v>464.28</v>
          </cell>
          <cell r="G43">
            <v>348.21</v>
          </cell>
          <cell r="H43">
            <v>486.72</v>
          </cell>
          <cell r="I43">
            <v>1299.21</v>
          </cell>
          <cell r="J43" t="str">
            <v>E-18</v>
          </cell>
          <cell r="K43">
            <v>0</v>
          </cell>
        </row>
        <row r="44">
          <cell r="A44">
            <v>19</v>
          </cell>
          <cell r="B44" t="str">
            <v>Motoniveladora</v>
          </cell>
          <cell r="C44">
            <v>215</v>
          </cell>
          <cell r="D44">
            <v>386000</v>
          </cell>
          <cell r="E44">
            <v>5905800</v>
          </cell>
          <cell r="F44">
            <v>620.11</v>
          </cell>
          <cell r="G44">
            <v>465.08</v>
          </cell>
          <cell r="H44">
            <v>523.22</v>
          </cell>
          <cell r="I44">
            <v>1608.41</v>
          </cell>
          <cell r="J44" t="str">
            <v>E-19</v>
          </cell>
          <cell r="K44">
            <v>0</v>
          </cell>
        </row>
        <row r="45">
          <cell r="A45">
            <v>20</v>
          </cell>
          <cell r="B45" t="str">
            <v>Motoniveladora</v>
          </cell>
          <cell r="C45">
            <v>150</v>
          </cell>
          <cell r="D45">
            <v>178400</v>
          </cell>
          <cell r="E45">
            <v>2729500</v>
          </cell>
          <cell r="F45">
            <v>286.60000000000002</v>
          </cell>
          <cell r="G45">
            <v>214.95</v>
          </cell>
          <cell r="H45">
            <v>365.04</v>
          </cell>
          <cell r="I45">
            <v>866.59</v>
          </cell>
          <cell r="J45" t="str">
            <v>E-20</v>
          </cell>
          <cell r="K45">
            <v>0</v>
          </cell>
        </row>
        <row r="46">
          <cell r="A46">
            <v>21</v>
          </cell>
          <cell r="B46" t="str">
            <v>Motoniveladora</v>
          </cell>
          <cell r="C46">
            <v>200</v>
          </cell>
          <cell r="D46">
            <v>162500</v>
          </cell>
          <cell r="E46">
            <v>2486300</v>
          </cell>
          <cell r="F46">
            <v>261.06</v>
          </cell>
          <cell r="G46">
            <v>195.8</v>
          </cell>
          <cell r="H46">
            <v>486.72</v>
          </cell>
          <cell r="I46">
            <v>943.58</v>
          </cell>
          <cell r="J46" t="str">
            <v>E-21</v>
          </cell>
          <cell r="K46">
            <v>0</v>
          </cell>
        </row>
        <row r="47">
          <cell r="A47">
            <v>22</v>
          </cell>
          <cell r="B47" t="str">
            <v>Rodillo simple liso</v>
          </cell>
          <cell r="C47">
            <v>145</v>
          </cell>
          <cell r="D47">
            <v>107000</v>
          </cell>
          <cell r="E47">
            <v>1637100</v>
          </cell>
          <cell r="F47">
            <v>171.9</v>
          </cell>
          <cell r="G47">
            <v>128.93</v>
          </cell>
          <cell r="H47">
            <v>352.87</v>
          </cell>
          <cell r="I47">
            <v>653.70000000000005</v>
          </cell>
          <cell r="J47" t="str">
            <v>E-22</v>
          </cell>
          <cell r="K47">
            <v>0</v>
          </cell>
        </row>
        <row r="48">
          <cell r="A48">
            <v>23</v>
          </cell>
          <cell r="B48" t="str">
            <v>Rodillo simple c/ pisones</v>
          </cell>
          <cell r="C48">
            <v>150</v>
          </cell>
          <cell r="D48">
            <v>200000</v>
          </cell>
          <cell r="E48">
            <v>3060000</v>
          </cell>
          <cell r="F48">
            <v>321.3</v>
          </cell>
          <cell r="G48">
            <v>240.98</v>
          </cell>
          <cell r="H48">
            <v>365.04</v>
          </cell>
          <cell r="I48">
            <v>927.31999999999994</v>
          </cell>
          <cell r="J48" t="str">
            <v>E-23</v>
          </cell>
          <cell r="K48">
            <v>0</v>
          </cell>
        </row>
        <row r="49">
          <cell r="A49">
            <v>24</v>
          </cell>
          <cell r="B49" t="str">
            <v>Rodillo simple c/ pisones</v>
          </cell>
          <cell r="C49">
            <v>145</v>
          </cell>
          <cell r="D49">
            <v>92870</v>
          </cell>
          <cell r="E49">
            <v>1420900</v>
          </cell>
          <cell r="F49">
            <v>149.19</v>
          </cell>
          <cell r="G49">
            <v>111.89</v>
          </cell>
          <cell r="H49">
            <v>352.87</v>
          </cell>
          <cell r="I49">
            <v>613.95000000000005</v>
          </cell>
          <cell r="J49" t="str">
            <v>E-24</v>
          </cell>
          <cell r="K49">
            <v>0</v>
          </cell>
        </row>
        <row r="50">
          <cell r="A50">
            <v>25</v>
          </cell>
          <cell r="B50" t="str">
            <v>Rod. Comp. Vibr. Aut.</v>
          </cell>
          <cell r="C50">
            <v>60</v>
          </cell>
          <cell r="D50">
            <v>200000</v>
          </cell>
          <cell r="E50">
            <v>3060000</v>
          </cell>
          <cell r="F50">
            <v>321.3</v>
          </cell>
          <cell r="G50">
            <v>240.98</v>
          </cell>
          <cell r="H50">
            <v>146.02000000000001</v>
          </cell>
          <cell r="I50">
            <v>708.3</v>
          </cell>
          <cell r="J50" t="str">
            <v>E-25</v>
          </cell>
          <cell r="K50">
            <v>0</v>
          </cell>
        </row>
        <row r="51">
          <cell r="A51">
            <v>26</v>
          </cell>
          <cell r="B51" t="str">
            <v>Rodillo doble liso</v>
          </cell>
          <cell r="C51">
            <v>125</v>
          </cell>
          <cell r="D51">
            <v>80000</v>
          </cell>
          <cell r="E51">
            <v>1224000</v>
          </cell>
          <cell r="F51">
            <v>128.52000000000001</v>
          </cell>
          <cell r="G51">
            <v>96.39</v>
          </cell>
          <cell r="H51">
            <v>304.2</v>
          </cell>
          <cell r="I51">
            <v>529.11</v>
          </cell>
          <cell r="J51" t="str">
            <v>E-26</v>
          </cell>
          <cell r="K51">
            <v>0</v>
          </cell>
        </row>
        <row r="52">
          <cell r="A52">
            <v>27</v>
          </cell>
          <cell r="B52" t="str">
            <v>Rodillo doble liso</v>
          </cell>
          <cell r="C52">
            <v>72</v>
          </cell>
          <cell r="D52">
            <v>100000</v>
          </cell>
          <cell r="E52">
            <v>1530000</v>
          </cell>
          <cell r="F52">
            <v>160.65</v>
          </cell>
          <cell r="G52">
            <v>120.49</v>
          </cell>
          <cell r="H52">
            <v>175.22</v>
          </cell>
          <cell r="I52">
            <v>456.36</v>
          </cell>
          <cell r="J52" t="str">
            <v>E-27</v>
          </cell>
          <cell r="K52">
            <v>0</v>
          </cell>
        </row>
        <row r="53">
          <cell r="A53">
            <v>28</v>
          </cell>
          <cell r="B53" t="str">
            <v>Rodillo doble liso</v>
          </cell>
          <cell r="C53">
            <v>117</v>
          </cell>
          <cell r="D53">
            <v>95682.000000000015</v>
          </cell>
          <cell r="E53">
            <v>1463900</v>
          </cell>
          <cell r="F53">
            <v>153.71</v>
          </cell>
          <cell r="G53">
            <v>115.28</v>
          </cell>
          <cell r="H53">
            <v>284.73</v>
          </cell>
          <cell r="I53">
            <v>553.72</v>
          </cell>
          <cell r="J53" t="str">
            <v>E-28</v>
          </cell>
          <cell r="K53">
            <v>0</v>
          </cell>
        </row>
        <row r="54">
          <cell r="A54">
            <v>29</v>
          </cell>
          <cell r="B54" t="str">
            <v>Rodillo doble liso</v>
          </cell>
          <cell r="C54">
            <v>105</v>
          </cell>
          <cell r="D54">
            <v>117500</v>
          </cell>
          <cell r="E54">
            <v>1797800</v>
          </cell>
          <cell r="F54">
            <v>188.77</v>
          </cell>
          <cell r="G54">
            <v>141.58000000000001</v>
          </cell>
          <cell r="H54">
            <v>255.53</v>
          </cell>
          <cell r="I54">
            <v>585.88</v>
          </cell>
          <cell r="J54" t="str">
            <v>E-29</v>
          </cell>
          <cell r="K54">
            <v>0</v>
          </cell>
        </row>
        <row r="55">
          <cell r="A55">
            <v>30</v>
          </cell>
          <cell r="B55" t="str">
            <v>Rodillo doble liso</v>
          </cell>
          <cell r="C55">
            <v>60</v>
          </cell>
          <cell r="D55">
            <v>60000</v>
          </cell>
          <cell r="E55">
            <v>918000</v>
          </cell>
          <cell r="F55">
            <v>96.39</v>
          </cell>
          <cell r="G55">
            <v>72.290000000000006</v>
          </cell>
          <cell r="H55">
            <v>146.02000000000001</v>
          </cell>
          <cell r="I55">
            <v>314.70000000000005</v>
          </cell>
          <cell r="J55" t="str">
            <v>E-30</v>
          </cell>
          <cell r="K55">
            <v>0</v>
          </cell>
        </row>
        <row r="56">
          <cell r="A56">
            <v>31</v>
          </cell>
          <cell r="B56" t="str">
            <v>Rodillo compactador</v>
          </cell>
          <cell r="C56">
            <v>310</v>
          </cell>
          <cell r="D56">
            <v>300000</v>
          </cell>
          <cell r="E56">
            <v>4590000</v>
          </cell>
          <cell r="F56">
            <v>481.95</v>
          </cell>
          <cell r="G56">
            <v>361.46</v>
          </cell>
          <cell r="H56">
            <v>754.42</v>
          </cell>
          <cell r="I56">
            <v>1597.83</v>
          </cell>
          <cell r="J56" t="str">
            <v>E-31</v>
          </cell>
          <cell r="K56">
            <v>0</v>
          </cell>
        </row>
        <row r="57">
          <cell r="A57">
            <v>32</v>
          </cell>
          <cell r="B57" t="str">
            <v>Compactador manual</v>
          </cell>
          <cell r="C57">
            <v>4</v>
          </cell>
          <cell r="D57">
            <v>3350</v>
          </cell>
          <cell r="E57">
            <v>51300</v>
          </cell>
          <cell r="F57">
            <v>5.39</v>
          </cell>
          <cell r="G57">
            <v>4.04</v>
          </cell>
          <cell r="H57">
            <v>9.73</v>
          </cell>
          <cell r="I57">
            <v>19.16</v>
          </cell>
          <cell r="J57" t="str">
            <v>E-32</v>
          </cell>
          <cell r="K57">
            <v>0</v>
          </cell>
        </row>
        <row r="58">
          <cell r="A58">
            <v>33</v>
          </cell>
          <cell r="B58" t="str">
            <v>Rodillo doble liso</v>
          </cell>
          <cell r="C58">
            <v>14</v>
          </cell>
          <cell r="D58">
            <v>6700</v>
          </cell>
          <cell r="E58">
            <v>102500</v>
          </cell>
          <cell r="F58">
            <v>10.76</v>
          </cell>
          <cell r="G58">
            <v>8.07</v>
          </cell>
          <cell r="H58">
            <v>34.07</v>
          </cell>
          <cell r="I58">
            <v>52.9</v>
          </cell>
          <cell r="J58" t="str">
            <v>E-33</v>
          </cell>
          <cell r="K58">
            <v>0</v>
          </cell>
        </row>
        <row r="59">
          <cell r="A59">
            <v>34</v>
          </cell>
          <cell r="B59" t="str">
            <v>Rodillo neumático</v>
          </cell>
          <cell r="C59">
            <v>165</v>
          </cell>
          <cell r="D59">
            <v>80000</v>
          </cell>
          <cell r="E59">
            <v>1224000</v>
          </cell>
          <cell r="F59">
            <v>128.52000000000001</v>
          </cell>
          <cell r="G59">
            <v>96.39</v>
          </cell>
          <cell r="H59">
            <v>401.54</v>
          </cell>
          <cell r="I59">
            <v>626.45000000000005</v>
          </cell>
          <cell r="J59" t="str">
            <v>E-34</v>
          </cell>
          <cell r="K59">
            <v>0</v>
          </cell>
        </row>
        <row r="60">
          <cell r="A60">
            <v>35</v>
          </cell>
          <cell r="B60" t="str">
            <v>Rodillo neumático</v>
          </cell>
          <cell r="C60">
            <v>130</v>
          </cell>
          <cell r="D60">
            <v>60000</v>
          </cell>
          <cell r="E60">
            <v>918000</v>
          </cell>
          <cell r="F60">
            <v>96.39</v>
          </cell>
          <cell r="G60">
            <v>72.290000000000006</v>
          </cell>
          <cell r="H60">
            <v>316.37</v>
          </cell>
          <cell r="I60">
            <v>485.05</v>
          </cell>
          <cell r="J60" t="str">
            <v>E-35</v>
          </cell>
          <cell r="K60">
            <v>0</v>
          </cell>
        </row>
        <row r="61">
          <cell r="A61">
            <v>36</v>
          </cell>
          <cell r="B61" t="str">
            <v>Rodillo neumático</v>
          </cell>
          <cell r="C61">
            <v>105</v>
          </cell>
          <cell r="D61">
            <v>111900</v>
          </cell>
          <cell r="E61">
            <v>1712100</v>
          </cell>
          <cell r="F61">
            <v>179.77</v>
          </cell>
          <cell r="G61">
            <v>134.83000000000001</v>
          </cell>
          <cell r="H61">
            <v>255.53</v>
          </cell>
          <cell r="I61">
            <v>570.13</v>
          </cell>
          <cell r="J61" t="str">
            <v>E-36</v>
          </cell>
          <cell r="K61">
            <v>0</v>
          </cell>
        </row>
        <row r="62">
          <cell r="A62">
            <v>37</v>
          </cell>
          <cell r="B62" t="str">
            <v>Rodillo neumático</v>
          </cell>
          <cell r="C62">
            <v>100</v>
          </cell>
          <cell r="D62">
            <v>69795</v>
          </cell>
          <cell r="E62">
            <v>1067900</v>
          </cell>
          <cell r="F62">
            <v>112.13</v>
          </cell>
          <cell r="G62">
            <v>84.1</v>
          </cell>
          <cell r="H62">
            <v>243.36</v>
          </cell>
          <cell r="I62">
            <v>439.59000000000003</v>
          </cell>
          <cell r="J62" t="str">
            <v>E-37</v>
          </cell>
          <cell r="K62">
            <v>0</v>
          </cell>
        </row>
        <row r="63">
          <cell r="A63">
            <v>38</v>
          </cell>
          <cell r="B63" t="str">
            <v>Tractor s/ neumáticos</v>
          </cell>
          <cell r="C63">
            <v>130</v>
          </cell>
          <cell r="D63">
            <v>37200</v>
          </cell>
          <cell r="E63">
            <v>569200</v>
          </cell>
          <cell r="F63">
            <v>59.77</v>
          </cell>
          <cell r="G63">
            <v>44.83</v>
          </cell>
          <cell r="H63">
            <v>316.37</v>
          </cell>
          <cell r="I63">
            <v>420.97</v>
          </cell>
          <cell r="J63" t="str">
            <v>E-38</v>
          </cell>
          <cell r="K63">
            <v>0</v>
          </cell>
        </row>
        <row r="64">
          <cell r="A64">
            <v>39</v>
          </cell>
          <cell r="B64" t="str">
            <v>Tractor s/ neumáticos</v>
          </cell>
          <cell r="C64">
            <v>107</v>
          </cell>
          <cell r="D64">
            <v>26100</v>
          </cell>
          <cell r="E64">
            <v>399300</v>
          </cell>
          <cell r="F64">
            <v>41.93</v>
          </cell>
          <cell r="G64">
            <v>31.45</v>
          </cell>
          <cell r="H64">
            <v>260.39999999999998</v>
          </cell>
          <cell r="I64">
            <v>333.78</v>
          </cell>
          <cell r="J64" t="str">
            <v>E-39</v>
          </cell>
          <cell r="K64">
            <v>0</v>
          </cell>
        </row>
        <row r="65">
          <cell r="A65">
            <v>40</v>
          </cell>
          <cell r="B65" t="str">
            <v>Terminadora asfáltica</v>
          </cell>
          <cell r="C65">
            <v>107</v>
          </cell>
          <cell r="D65">
            <v>94500</v>
          </cell>
          <cell r="E65">
            <v>1445900</v>
          </cell>
          <cell r="F65">
            <v>151.82</v>
          </cell>
          <cell r="G65">
            <v>113.87</v>
          </cell>
          <cell r="H65">
            <v>260.39999999999998</v>
          </cell>
          <cell r="I65">
            <v>526.08999999999992</v>
          </cell>
          <cell r="J65" t="str">
            <v>E-40</v>
          </cell>
          <cell r="K65">
            <v>0</v>
          </cell>
        </row>
        <row r="66">
          <cell r="A66">
            <v>41</v>
          </cell>
          <cell r="B66" t="str">
            <v xml:space="preserve">Distribuidora de piedra </v>
          </cell>
          <cell r="C66">
            <v>90</v>
          </cell>
          <cell r="D66">
            <v>70000</v>
          </cell>
          <cell r="E66">
            <v>1071000</v>
          </cell>
          <cell r="F66">
            <v>112.46</v>
          </cell>
          <cell r="G66">
            <v>84.35</v>
          </cell>
          <cell r="H66">
            <v>219.02</v>
          </cell>
          <cell r="I66">
            <v>415.83000000000004</v>
          </cell>
          <cell r="J66" t="str">
            <v>E-41</v>
          </cell>
          <cell r="K66">
            <v>0</v>
          </cell>
        </row>
        <row r="67">
          <cell r="A67">
            <v>41.1</v>
          </cell>
          <cell r="B67" t="str">
            <v>Distribuidora de estabilizado</v>
          </cell>
          <cell r="C67">
            <v>74</v>
          </cell>
          <cell r="D67">
            <v>68000</v>
          </cell>
          <cell r="E67">
            <v>1040400</v>
          </cell>
          <cell r="F67">
            <v>109.24</v>
          </cell>
          <cell r="G67">
            <v>81.93</v>
          </cell>
          <cell r="H67">
            <v>180.09</v>
          </cell>
          <cell r="I67">
            <v>371.26</v>
          </cell>
          <cell r="J67" t="str">
            <v>E-41,1</v>
          </cell>
          <cell r="K67">
            <v>0</v>
          </cell>
        </row>
        <row r="68">
          <cell r="A68">
            <v>42</v>
          </cell>
          <cell r="B68" t="str">
            <v>Barredora sopladora</v>
          </cell>
          <cell r="C68">
            <v>40</v>
          </cell>
          <cell r="D68">
            <v>12000</v>
          </cell>
          <cell r="E68">
            <v>183600</v>
          </cell>
          <cell r="F68">
            <v>19.28</v>
          </cell>
          <cell r="G68">
            <v>14.46</v>
          </cell>
          <cell r="H68">
            <v>97.34</v>
          </cell>
          <cell r="I68">
            <v>131.08000000000001</v>
          </cell>
          <cell r="J68" t="str">
            <v>E-42</v>
          </cell>
          <cell r="K68">
            <v>0</v>
          </cell>
        </row>
        <row r="69">
          <cell r="A69">
            <v>43</v>
          </cell>
          <cell r="B69" t="str">
            <v>Perforadora de roca</v>
          </cell>
          <cell r="C69">
            <v>144</v>
          </cell>
          <cell r="D69">
            <v>230000</v>
          </cell>
          <cell r="E69">
            <v>3519000</v>
          </cell>
          <cell r="F69">
            <v>369.5</v>
          </cell>
          <cell r="G69">
            <v>277.13</v>
          </cell>
          <cell r="H69">
            <v>350.44</v>
          </cell>
          <cell r="I69">
            <v>997.06999999999994</v>
          </cell>
          <cell r="J69" t="str">
            <v>E-43</v>
          </cell>
          <cell r="K69">
            <v>0</v>
          </cell>
        </row>
        <row r="70">
          <cell r="A70">
            <v>44</v>
          </cell>
          <cell r="B70" t="str">
            <v>Motocompresor</v>
          </cell>
          <cell r="C70">
            <v>220</v>
          </cell>
          <cell r="D70">
            <v>65349</v>
          </cell>
          <cell r="E70">
            <v>999800</v>
          </cell>
          <cell r="F70">
            <v>104.98</v>
          </cell>
          <cell r="G70">
            <v>78.739999999999995</v>
          </cell>
          <cell r="H70">
            <v>535.39</v>
          </cell>
          <cell r="I70">
            <v>719.11</v>
          </cell>
          <cell r="J70" t="str">
            <v>E-44</v>
          </cell>
          <cell r="K70">
            <v>0</v>
          </cell>
        </row>
        <row r="71">
          <cell r="A71">
            <v>45</v>
          </cell>
          <cell r="B71" t="str">
            <v>Motocompresor</v>
          </cell>
          <cell r="C71">
            <v>109</v>
          </cell>
          <cell r="D71">
            <v>33500</v>
          </cell>
          <cell r="E71">
            <v>512600</v>
          </cell>
          <cell r="F71">
            <v>53.82</v>
          </cell>
          <cell r="G71">
            <v>40.369999999999997</v>
          </cell>
          <cell r="H71">
            <v>265.26</v>
          </cell>
          <cell r="I71">
            <v>359.45</v>
          </cell>
          <cell r="J71" t="str">
            <v>E-45</v>
          </cell>
          <cell r="K71">
            <v>0</v>
          </cell>
        </row>
        <row r="72">
          <cell r="A72">
            <v>46</v>
          </cell>
          <cell r="B72" t="str">
            <v>Camión volcador</v>
          </cell>
          <cell r="C72">
            <v>217</v>
          </cell>
          <cell r="D72">
            <v>64941</v>
          </cell>
          <cell r="E72">
            <v>993600</v>
          </cell>
          <cell r="F72">
            <v>104.33</v>
          </cell>
          <cell r="G72">
            <v>78.25</v>
          </cell>
          <cell r="H72">
            <v>528.09</v>
          </cell>
          <cell r="I72">
            <v>710.67000000000007</v>
          </cell>
          <cell r="J72" t="str">
            <v>E-46</v>
          </cell>
          <cell r="K72">
            <v>0</v>
          </cell>
        </row>
        <row r="73">
          <cell r="A73">
            <v>47</v>
          </cell>
          <cell r="B73" t="str">
            <v>Camión volcador</v>
          </cell>
          <cell r="C73">
            <v>140</v>
          </cell>
          <cell r="D73">
            <v>70000</v>
          </cell>
          <cell r="E73">
            <v>1071000</v>
          </cell>
          <cell r="F73">
            <v>112.46</v>
          </cell>
          <cell r="G73">
            <v>84.35</v>
          </cell>
          <cell r="H73">
            <v>340.7</v>
          </cell>
          <cell r="I73">
            <v>537.51</v>
          </cell>
          <cell r="J73" t="str">
            <v>E-47</v>
          </cell>
          <cell r="K73">
            <v>0</v>
          </cell>
        </row>
        <row r="74">
          <cell r="A74">
            <v>48</v>
          </cell>
          <cell r="B74" t="str">
            <v>Camión volcador</v>
          </cell>
          <cell r="C74">
            <v>217</v>
          </cell>
          <cell r="D74">
            <v>64941</v>
          </cell>
          <cell r="E74">
            <v>993600</v>
          </cell>
          <cell r="F74">
            <v>104.33</v>
          </cell>
          <cell r="G74">
            <v>78.25</v>
          </cell>
          <cell r="H74">
            <v>528.09</v>
          </cell>
          <cell r="I74">
            <v>710.67000000000007</v>
          </cell>
          <cell r="J74" t="str">
            <v>E-48</v>
          </cell>
          <cell r="K74">
            <v>0</v>
          </cell>
        </row>
        <row r="75">
          <cell r="A75">
            <v>49</v>
          </cell>
          <cell r="B75" t="str">
            <v>Camión regador de asfalto</v>
          </cell>
          <cell r="C75">
            <v>110</v>
          </cell>
          <cell r="D75">
            <v>85000</v>
          </cell>
          <cell r="E75">
            <v>1300500</v>
          </cell>
          <cell r="F75">
            <v>136.55000000000001</v>
          </cell>
          <cell r="G75">
            <v>102.41</v>
          </cell>
          <cell r="H75">
            <v>267.7</v>
          </cell>
          <cell r="I75">
            <v>506.65999999999997</v>
          </cell>
          <cell r="J75" t="str">
            <v>E-49</v>
          </cell>
          <cell r="K75">
            <v>0</v>
          </cell>
        </row>
        <row r="76">
          <cell r="A76">
            <v>50</v>
          </cell>
          <cell r="B76" t="str">
            <v>Camión regador de agua</v>
          </cell>
          <cell r="C76">
            <v>207</v>
          </cell>
          <cell r="D76">
            <v>63618</v>
          </cell>
          <cell r="E76">
            <v>973400</v>
          </cell>
          <cell r="F76">
            <v>102.21</v>
          </cell>
          <cell r="G76">
            <v>76.66</v>
          </cell>
          <cell r="H76">
            <v>503.76</v>
          </cell>
          <cell r="I76">
            <v>682.63</v>
          </cell>
          <cell r="J76" t="str">
            <v>E-50</v>
          </cell>
          <cell r="K76">
            <v>0</v>
          </cell>
        </row>
        <row r="77">
          <cell r="A77">
            <v>51</v>
          </cell>
          <cell r="B77" t="str">
            <v>Camión motohormigonero</v>
          </cell>
          <cell r="C77">
            <v>233</v>
          </cell>
          <cell r="D77">
            <v>119000</v>
          </cell>
          <cell r="E77">
            <v>1820700</v>
          </cell>
          <cell r="F77">
            <v>191.17</v>
          </cell>
          <cell r="G77">
            <v>143.38</v>
          </cell>
          <cell r="H77">
            <v>567.03</v>
          </cell>
          <cell r="I77">
            <v>901.57999999999993</v>
          </cell>
          <cell r="J77" t="str">
            <v>E-51</v>
          </cell>
          <cell r="K77">
            <v>0</v>
          </cell>
        </row>
        <row r="78">
          <cell r="A78">
            <v>52</v>
          </cell>
          <cell r="B78" t="str">
            <v>Camión volcador</v>
          </cell>
          <cell r="C78">
            <v>233</v>
          </cell>
          <cell r="D78">
            <v>89000</v>
          </cell>
          <cell r="E78">
            <v>1361700</v>
          </cell>
          <cell r="F78">
            <v>142.97999999999999</v>
          </cell>
          <cell r="G78">
            <v>107.24</v>
          </cell>
          <cell r="H78">
            <v>567.03</v>
          </cell>
          <cell r="I78">
            <v>817.25</v>
          </cell>
          <cell r="J78" t="str">
            <v>E-52</v>
          </cell>
          <cell r="K78">
            <v>0</v>
          </cell>
        </row>
        <row r="79">
          <cell r="A79">
            <v>53</v>
          </cell>
          <cell r="B79" t="str">
            <v>Camión regador de agua</v>
          </cell>
          <cell r="C79">
            <v>207</v>
          </cell>
          <cell r="D79">
            <v>63618</v>
          </cell>
          <cell r="E79">
            <v>973400</v>
          </cell>
          <cell r="F79">
            <v>102.21</v>
          </cell>
          <cell r="G79">
            <v>76.66</v>
          </cell>
          <cell r="H79">
            <v>503.76</v>
          </cell>
          <cell r="I79">
            <v>682.63</v>
          </cell>
          <cell r="J79" t="str">
            <v>E-53</v>
          </cell>
          <cell r="K79">
            <v>0</v>
          </cell>
        </row>
        <row r="80">
          <cell r="A80">
            <v>54</v>
          </cell>
          <cell r="B80" t="str">
            <v>Motohormigonera</v>
          </cell>
          <cell r="D80">
            <v>30000</v>
          </cell>
          <cell r="E80">
            <v>459000</v>
          </cell>
          <cell r="F80">
            <v>48.2</v>
          </cell>
          <cell r="G80">
            <v>36.15</v>
          </cell>
          <cell r="H80">
            <v>0</v>
          </cell>
          <cell r="I80">
            <v>84.35</v>
          </cell>
          <cell r="J80" t="str">
            <v>E-54</v>
          </cell>
          <cell r="K80">
            <v>0</v>
          </cell>
        </row>
        <row r="81">
          <cell r="A81">
            <v>55</v>
          </cell>
          <cell r="B81" t="str">
            <v>Planta de hormigón</v>
          </cell>
          <cell r="D81">
            <v>290000</v>
          </cell>
          <cell r="E81">
            <v>4437000</v>
          </cell>
          <cell r="F81">
            <v>465.89</v>
          </cell>
          <cell r="G81">
            <v>349.42</v>
          </cell>
          <cell r="H81">
            <v>0</v>
          </cell>
          <cell r="I81">
            <v>815.31</v>
          </cell>
          <cell r="J81" t="str">
            <v>E-55</v>
          </cell>
          <cell r="K81">
            <v>0</v>
          </cell>
        </row>
        <row r="82">
          <cell r="A82">
            <v>56</v>
          </cell>
          <cell r="B82" t="str">
            <v>Planta asfáltica</v>
          </cell>
          <cell r="D82">
            <v>1818520</v>
          </cell>
          <cell r="E82">
            <v>27823400</v>
          </cell>
          <cell r="F82">
            <v>2921.46</v>
          </cell>
          <cell r="G82">
            <v>2191.1</v>
          </cell>
          <cell r="H82">
            <v>0</v>
          </cell>
          <cell r="I82">
            <v>5112.5599999999995</v>
          </cell>
          <cell r="J82" t="str">
            <v>E-56</v>
          </cell>
          <cell r="K82">
            <v>0</v>
          </cell>
        </row>
        <row r="83">
          <cell r="A83">
            <v>57</v>
          </cell>
          <cell r="B83" t="str">
            <v>Planta de hormigón</v>
          </cell>
          <cell r="D83">
            <v>488280</v>
          </cell>
          <cell r="E83">
            <v>7470700</v>
          </cell>
          <cell r="F83">
            <v>784.42</v>
          </cell>
          <cell r="G83">
            <v>588.32000000000005</v>
          </cell>
          <cell r="H83">
            <v>0</v>
          </cell>
          <cell r="I83">
            <v>1372.74</v>
          </cell>
          <cell r="J83" t="str">
            <v>E-57</v>
          </cell>
          <cell r="K83">
            <v>0</v>
          </cell>
        </row>
        <row r="84">
          <cell r="A84">
            <v>58</v>
          </cell>
          <cell r="B84" t="str">
            <v>Planta trituradora</v>
          </cell>
          <cell r="C84">
            <v>800</v>
          </cell>
          <cell r="D84">
            <v>1000000</v>
          </cell>
          <cell r="E84">
            <v>15300000</v>
          </cell>
          <cell r="F84">
            <v>1606.5</v>
          </cell>
          <cell r="G84">
            <v>1204.8800000000001</v>
          </cell>
          <cell r="H84">
            <v>1946.88</v>
          </cell>
          <cell r="I84">
            <v>4758.26</v>
          </cell>
          <cell r="J84" t="str">
            <v>E-58</v>
          </cell>
          <cell r="K84">
            <v>0</v>
          </cell>
        </row>
        <row r="85">
          <cell r="A85">
            <v>59</v>
          </cell>
          <cell r="B85" t="str">
            <v>Planta de estabilizado</v>
          </cell>
          <cell r="D85">
            <v>200000</v>
          </cell>
          <cell r="E85">
            <v>3060000</v>
          </cell>
          <cell r="F85">
            <v>321.3</v>
          </cell>
          <cell r="G85">
            <v>240.98</v>
          </cell>
          <cell r="H85">
            <v>0</v>
          </cell>
          <cell r="I85">
            <v>562.28</v>
          </cell>
          <cell r="J85" t="str">
            <v>E-59</v>
          </cell>
          <cell r="K85">
            <v>0</v>
          </cell>
        </row>
        <row r="86">
          <cell r="A86">
            <v>60</v>
          </cell>
          <cell r="B86" t="str">
            <v>Planta de estabilizado</v>
          </cell>
          <cell r="D86">
            <v>140000</v>
          </cell>
          <cell r="E86">
            <v>2142000</v>
          </cell>
          <cell r="F86">
            <v>224.91</v>
          </cell>
          <cell r="G86">
            <v>168.68</v>
          </cell>
          <cell r="H86">
            <v>0</v>
          </cell>
          <cell r="I86">
            <v>393.59000000000003</v>
          </cell>
          <cell r="J86" t="str">
            <v>E-60</v>
          </cell>
          <cell r="K86">
            <v>0</v>
          </cell>
        </row>
        <row r="87">
          <cell r="A87">
            <v>61</v>
          </cell>
          <cell r="B87" t="str">
            <v>Rastra de discos</v>
          </cell>
          <cell r="D87">
            <v>5500</v>
          </cell>
          <cell r="E87">
            <v>84200</v>
          </cell>
          <cell r="F87">
            <v>8.84</v>
          </cell>
          <cell r="G87">
            <v>6.63</v>
          </cell>
          <cell r="H87">
            <v>0</v>
          </cell>
          <cell r="I87">
            <v>15.469999999999999</v>
          </cell>
          <cell r="J87" t="str">
            <v>E-61</v>
          </cell>
          <cell r="K87">
            <v>0</v>
          </cell>
        </row>
        <row r="88">
          <cell r="A88">
            <v>62</v>
          </cell>
          <cell r="B88" t="str">
            <v>Palas de arrastre</v>
          </cell>
          <cell r="D88">
            <v>30000</v>
          </cell>
          <cell r="E88">
            <v>459000</v>
          </cell>
          <cell r="F88">
            <v>48.2</v>
          </cell>
          <cell r="G88">
            <v>36.15</v>
          </cell>
          <cell r="H88">
            <v>0</v>
          </cell>
          <cell r="I88">
            <v>84.35</v>
          </cell>
          <cell r="J88" t="str">
            <v>E-62</v>
          </cell>
          <cell r="K88">
            <v>0</v>
          </cell>
        </row>
        <row r="89">
          <cell r="A89">
            <v>63</v>
          </cell>
          <cell r="B89" t="str">
            <v xml:space="preserve">Camión c/ hidrogrúa </v>
          </cell>
          <cell r="C89">
            <v>410</v>
          </cell>
          <cell r="D89">
            <v>261802</v>
          </cell>
          <cell r="E89">
            <v>4005600</v>
          </cell>
          <cell r="F89">
            <v>420.59</v>
          </cell>
          <cell r="G89">
            <v>315.44</v>
          </cell>
          <cell r="H89">
            <v>997.78</v>
          </cell>
          <cell r="I89">
            <v>1733.81</v>
          </cell>
          <cell r="J89" t="str">
            <v>E-63</v>
          </cell>
          <cell r="K89">
            <v>0</v>
          </cell>
        </row>
        <row r="90">
          <cell r="A90">
            <v>64</v>
          </cell>
          <cell r="B90" t="str">
            <v>Grupo electrógeno</v>
          </cell>
          <cell r="C90">
            <v>1286</v>
          </cell>
          <cell r="D90">
            <v>107350</v>
          </cell>
          <cell r="E90">
            <v>1642500</v>
          </cell>
          <cell r="F90">
            <v>172.46</v>
          </cell>
          <cell r="G90">
            <v>129.35</v>
          </cell>
          <cell r="H90">
            <v>3129.61</v>
          </cell>
          <cell r="I90">
            <v>3431.42</v>
          </cell>
          <cell r="J90" t="str">
            <v>E-64</v>
          </cell>
          <cell r="K90">
            <v>0</v>
          </cell>
        </row>
        <row r="91">
          <cell r="A91">
            <v>64.099999999999994</v>
          </cell>
          <cell r="B91" t="str">
            <v>Grupo electrógeno</v>
          </cell>
          <cell r="C91">
            <v>602</v>
          </cell>
          <cell r="D91">
            <v>63976</v>
          </cell>
          <cell r="E91">
            <v>978800</v>
          </cell>
          <cell r="F91">
            <v>102.77</v>
          </cell>
          <cell r="G91">
            <v>77.08</v>
          </cell>
          <cell r="H91">
            <v>1465.03</v>
          </cell>
          <cell r="I91">
            <v>1644.8799999999999</v>
          </cell>
          <cell r="J91" t="str">
            <v>E-64,1</v>
          </cell>
          <cell r="K91">
            <v>0</v>
          </cell>
        </row>
        <row r="92">
          <cell r="A92">
            <v>65</v>
          </cell>
          <cell r="B92" t="str">
            <v>Grupo electrógeno</v>
          </cell>
          <cell r="C92">
            <v>250</v>
          </cell>
          <cell r="D92">
            <v>58000</v>
          </cell>
          <cell r="E92">
            <v>887400</v>
          </cell>
          <cell r="F92">
            <v>93.18</v>
          </cell>
          <cell r="G92">
            <v>69.89</v>
          </cell>
          <cell r="H92">
            <v>608.4</v>
          </cell>
          <cell r="I92">
            <v>771.47</v>
          </cell>
          <cell r="J92" t="str">
            <v>E-65</v>
          </cell>
          <cell r="K92">
            <v>0</v>
          </cell>
        </row>
        <row r="93">
          <cell r="A93">
            <v>66</v>
          </cell>
          <cell r="B93" t="str">
            <v>Grupo electrógeno</v>
          </cell>
          <cell r="C93">
            <v>135</v>
          </cell>
          <cell r="D93">
            <v>32000</v>
          </cell>
          <cell r="E93">
            <v>489600</v>
          </cell>
          <cell r="F93">
            <v>51.41</v>
          </cell>
          <cell r="G93">
            <v>38.56</v>
          </cell>
          <cell r="H93">
            <v>328.54</v>
          </cell>
          <cell r="I93">
            <v>418.51</v>
          </cell>
          <cell r="J93" t="str">
            <v>E-66</v>
          </cell>
          <cell r="K93">
            <v>0</v>
          </cell>
        </row>
        <row r="94">
          <cell r="A94">
            <v>67</v>
          </cell>
          <cell r="B94" t="str">
            <v>Motobomba</v>
          </cell>
          <cell r="C94">
            <v>50</v>
          </cell>
          <cell r="D94">
            <v>5500</v>
          </cell>
          <cell r="E94">
            <v>84200</v>
          </cell>
          <cell r="F94">
            <v>8.84</v>
          </cell>
          <cell r="G94">
            <v>6.63</v>
          </cell>
          <cell r="H94">
            <v>121.68</v>
          </cell>
          <cell r="I94">
            <v>137.15</v>
          </cell>
          <cell r="J94" t="str">
            <v>E-67</v>
          </cell>
          <cell r="K94">
            <v>0</v>
          </cell>
        </row>
        <row r="95">
          <cell r="A95">
            <v>68</v>
          </cell>
          <cell r="B95" t="str">
            <v>Hoyadora</v>
          </cell>
          <cell r="D95">
            <v>5600</v>
          </cell>
          <cell r="E95">
            <v>85700</v>
          </cell>
          <cell r="F95">
            <v>9</v>
          </cell>
          <cell r="G95">
            <v>6.75</v>
          </cell>
          <cell r="H95">
            <v>0</v>
          </cell>
          <cell r="I95">
            <v>15.75</v>
          </cell>
          <cell r="J95" t="str">
            <v>E-68</v>
          </cell>
          <cell r="K95">
            <v>0</v>
          </cell>
        </row>
        <row r="96">
          <cell r="A96">
            <v>69</v>
          </cell>
          <cell r="B96" t="str">
            <v>Aserradora de juntas</v>
          </cell>
          <cell r="C96">
            <v>13</v>
          </cell>
          <cell r="D96">
            <v>4416</v>
          </cell>
          <cell r="E96">
            <v>67600</v>
          </cell>
          <cell r="F96">
            <v>7.1</v>
          </cell>
          <cell r="G96">
            <v>5.33</v>
          </cell>
          <cell r="H96">
            <v>31.64</v>
          </cell>
          <cell r="I96">
            <v>44.07</v>
          </cell>
          <cell r="J96" t="str">
            <v>E-69</v>
          </cell>
          <cell r="K96">
            <v>0</v>
          </cell>
        </row>
        <row r="97">
          <cell r="A97">
            <v>69.099999999999994</v>
          </cell>
          <cell r="B97" t="str">
            <v>Equipo para sellado de fisuras</v>
          </cell>
          <cell r="C97">
            <v>11</v>
          </cell>
          <cell r="D97">
            <v>19620</v>
          </cell>
          <cell r="E97">
            <v>300200</v>
          </cell>
          <cell r="F97">
            <v>31.52</v>
          </cell>
          <cell r="G97">
            <v>23.64</v>
          </cell>
          <cell r="H97">
            <v>26.77</v>
          </cell>
          <cell r="I97">
            <v>81.929999999999993</v>
          </cell>
          <cell r="J97" t="str">
            <v>E-69,1</v>
          </cell>
          <cell r="K97">
            <v>0</v>
          </cell>
        </row>
        <row r="98">
          <cell r="A98">
            <v>70</v>
          </cell>
          <cell r="B98" t="str">
            <v>Caldera para juntas</v>
          </cell>
          <cell r="C98">
            <v>1.5</v>
          </cell>
          <cell r="D98">
            <v>3200</v>
          </cell>
          <cell r="E98">
            <v>49000</v>
          </cell>
          <cell r="F98">
            <v>5.15</v>
          </cell>
          <cell r="G98">
            <v>3.86</v>
          </cell>
          <cell r="H98">
            <v>3.65</v>
          </cell>
          <cell r="I98">
            <v>12.66</v>
          </cell>
          <cell r="J98" t="str">
            <v>E-70</v>
          </cell>
          <cell r="K98">
            <v>0</v>
          </cell>
        </row>
        <row r="99">
          <cell r="A99">
            <v>71</v>
          </cell>
          <cell r="B99" t="str">
            <v>Moldes Pavimento</v>
          </cell>
          <cell r="D99">
            <v>3000</v>
          </cell>
          <cell r="E99">
            <v>45900</v>
          </cell>
          <cell r="F99">
            <v>4.82</v>
          </cell>
          <cell r="G99">
            <v>3.62</v>
          </cell>
          <cell r="H99">
            <v>0</v>
          </cell>
          <cell r="I99">
            <v>8.4400000000000013</v>
          </cell>
          <cell r="J99" t="str">
            <v>E-71</v>
          </cell>
          <cell r="K99">
            <v>0</v>
          </cell>
        </row>
        <row r="100">
          <cell r="A100">
            <v>72</v>
          </cell>
          <cell r="B100" t="str">
            <v>Wagon drill</v>
          </cell>
          <cell r="C100">
            <v>136</v>
          </cell>
          <cell r="D100">
            <v>45000</v>
          </cell>
          <cell r="E100">
            <v>688500</v>
          </cell>
          <cell r="F100">
            <v>72.290000000000006</v>
          </cell>
          <cell r="G100">
            <v>54.22</v>
          </cell>
          <cell r="H100">
            <v>330.97</v>
          </cell>
          <cell r="I100">
            <v>457.48</v>
          </cell>
          <cell r="J100" t="str">
            <v>E-72</v>
          </cell>
          <cell r="K100">
            <v>0</v>
          </cell>
        </row>
        <row r="101">
          <cell r="A101">
            <v>73</v>
          </cell>
          <cell r="B101" t="str">
            <v>Distribuidora / Terminadora de hormigón</v>
          </cell>
          <cell r="C101">
            <v>335</v>
          </cell>
          <cell r="D101">
            <v>1450000</v>
          </cell>
          <cell r="E101">
            <v>22185000</v>
          </cell>
          <cell r="F101">
            <v>2329.4299999999998</v>
          </cell>
          <cell r="G101">
            <v>1747.07</v>
          </cell>
          <cell r="H101">
            <v>815.26</v>
          </cell>
          <cell r="I101">
            <v>4891.76</v>
          </cell>
          <cell r="J101" t="str">
            <v>E-73</v>
          </cell>
          <cell r="K101">
            <v>0</v>
          </cell>
        </row>
        <row r="102">
          <cell r="A102">
            <v>74</v>
          </cell>
          <cell r="B102" t="str">
            <v>Fresadora</v>
          </cell>
          <cell r="C102">
            <v>300</v>
          </cell>
          <cell r="D102">
            <v>500000</v>
          </cell>
          <cell r="E102">
            <v>7650000</v>
          </cell>
          <cell r="F102">
            <v>803.25</v>
          </cell>
          <cell r="G102">
            <v>602.44000000000005</v>
          </cell>
          <cell r="H102">
            <v>730.08</v>
          </cell>
          <cell r="I102">
            <v>2135.77</v>
          </cell>
          <cell r="J102" t="str">
            <v>E-74</v>
          </cell>
          <cell r="K102">
            <v>0</v>
          </cell>
        </row>
        <row r="103">
          <cell r="A103">
            <v>74.099999999999994</v>
          </cell>
          <cell r="B103" t="str">
            <v>Recicladora / Estabilizadora</v>
          </cell>
          <cell r="C103">
            <v>670</v>
          </cell>
          <cell r="D103">
            <v>615000</v>
          </cell>
          <cell r="E103">
            <v>9409500</v>
          </cell>
          <cell r="F103">
            <v>988</v>
          </cell>
          <cell r="G103">
            <v>741</v>
          </cell>
          <cell r="H103">
            <v>1630.51</v>
          </cell>
          <cell r="I103">
            <v>3359.51</v>
          </cell>
          <cell r="J103" t="str">
            <v>E-74,1</v>
          </cell>
          <cell r="K103">
            <v>0</v>
          </cell>
        </row>
        <row r="104">
          <cell r="A104">
            <v>75</v>
          </cell>
          <cell r="B104" t="str">
            <v>Equipo p/ señalización horizontal</v>
          </cell>
          <cell r="C104">
            <v>180</v>
          </cell>
          <cell r="D104">
            <v>179000</v>
          </cell>
          <cell r="E104">
            <v>2738700</v>
          </cell>
          <cell r="F104">
            <v>287.56</v>
          </cell>
          <cell r="G104">
            <v>215.67</v>
          </cell>
          <cell r="H104">
            <v>438.05</v>
          </cell>
          <cell r="I104">
            <v>941.28</v>
          </cell>
          <cell r="J104" t="str">
            <v>E-75</v>
          </cell>
          <cell r="K104">
            <v>0</v>
          </cell>
        </row>
        <row r="105">
          <cell r="A105">
            <v>76</v>
          </cell>
          <cell r="B105" t="str">
            <v>Hormigonera de volteo</v>
          </cell>
          <cell r="C105">
            <v>10</v>
          </cell>
          <cell r="D105">
            <v>4300</v>
          </cell>
          <cell r="E105">
            <v>65800</v>
          </cell>
          <cell r="F105">
            <v>6.91</v>
          </cell>
          <cell r="G105">
            <v>5.18</v>
          </cell>
          <cell r="H105">
            <v>24.34</v>
          </cell>
          <cell r="I105">
            <v>36.43</v>
          </cell>
          <cell r="J105" t="str">
            <v>E-76</v>
          </cell>
          <cell r="K105">
            <v>0</v>
          </cell>
        </row>
        <row r="106">
          <cell r="A106">
            <v>77</v>
          </cell>
          <cell r="B106" t="str">
            <v>Grúa s/ neumáticos</v>
          </cell>
          <cell r="C106">
            <v>92</v>
          </cell>
          <cell r="D106">
            <v>250000</v>
          </cell>
          <cell r="E106">
            <v>3825000</v>
          </cell>
          <cell r="F106">
            <v>401.63</v>
          </cell>
          <cell r="G106">
            <v>301.22000000000003</v>
          </cell>
          <cell r="H106">
            <v>223.89</v>
          </cell>
          <cell r="I106">
            <v>926.74</v>
          </cell>
          <cell r="J106" t="str">
            <v>E-77</v>
          </cell>
          <cell r="K106">
            <v>0</v>
          </cell>
        </row>
        <row r="107">
          <cell r="A107">
            <v>78</v>
          </cell>
          <cell r="B107" t="str">
            <v>Equipos para pilotaje</v>
          </cell>
          <cell r="C107">
            <v>410</v>
          </cell>
          <cell r="D107">
            <v>485000</v>
          </cell>
          <cell r="E107">
            <v>7420500</v>
          </cell>
          <cell r="F107">
            <v>779.15</v>
          </cell>
          <cell r="G107">
            <v>584.36</v>
          </cell>
          <cell r="H107">
            <v>997.78</v>
          </cell>
          <cell r="I107">
            <v>2361.29</v>
          </cell>
          <cell r="J107" t="str">
            <v>E-78</v>
          </cell>
          <cell r="K107">
            <v>0</v>
          </cell>
        </row>
        <row r="108">
          <cell r="A108">
            <v>78.099999999999994</v>
          </cell>
          <cell r="B108" t="str">
            <v xml:space="preserve">Grúa 70 Tn </v>
          </cell>
          <cell r="C108">
            <v>260</v>
          </cell>
          <cell r="D108">
            <v>385000</v>
          </cell>
          <cell r="E108">
            <v>5890500</v>
          </cell>
          <cell r="F108">
            <v>618.5</v>
          </cell>
          <cell r="G108">
            <v>463.88</v>
          </cell>
          <cell r="H108">
            <v>632.74</v>
          </cell>
          <cell r="I108">
            <v>1715.1200000000001</v>
          </cell>
          <cell r="J108" t="str">
            <v>E-78,1</v>
          </cell>
          <cell r="K108">
            <v>0</v>
          </cell>
        </row>
        <row r="109">
          <cell r="A109">
            <v>79</v>
          </cell>
          <cell r="B109" t="str">
            <v>Grúa s/ neumáticos 65 Tn</v>
          </cell>
          <cell r="C109">
            <v>230</v>
          </cell>
          <cell r="D109">
            <v>330000</v>
          </cell>
          <cell r="E109">
            <v>5049000</v>
          </cell>
          <cell r="F109">
            <v>530.15</v>
          </cell>
          <cell r="G109">
            <v>397.61</v>
          </cell>
          <cell r="H109">
            <v>559.73</v>
          </cell>
          <cell r="I109">
            <v>1487.49</v>
          </cell>
          <cell r="J109" t="str">
            <v>E-79</v>
          </cell>
          <cell r="K109">
            <v>0</v>
          </cell>
        </row>
        <row r="110">
          <cell r="A110">
            <v>80</v>
          </cell>
          <cell r="B110" t="str">
            <v>Grúa s/neumáticos 50 Tn</v>
          </cell>
          <cell r="C110">
            <v>200</v>
          </cell>
          <cell r="D110">
            <v>305000</v>
          </cell>
          <cell r="E110">
            <v>4666500</v>
          </cell>
          <cell r="F110">
            <v>489.98</v>
          </cell>
          <cell r="G110">
            <v>367.49</v>
          </cell>
          <cell r="H110">
            <v>486.72</v>
          </cell>
          <cell r="I110">
            <v>1344.19</v>
          </cell>
          <cell r="J110" t="str">
            <v>E-80</v>
          </cell>
          <cell r="K110">
            <v>0</v>
          </cell>
        </row>
        <row r="111">
          <cell r="A111">
            <v>80.099999999999994</v>
          </cell>
          <cell r="B111" t="str">
            <v>Viga de lanzamiento 50 ton c/pórtico hidraúlico</v>
          </cell>
          <cell r="C111">
            <v>200</v>
          </cell>
          <cell r="D111">
            <v>305000</v>
          </cell>
          <cell r="E111">
            <v>4666500</v>
          </cell>
          <cell r="F111">
            <v>489.98</v>
          </cell>
          <cell r="G111">
            <v>367.49</v>
          </cell>
          <cell r="H111">
            <v>486.72</v>
          </cell>
          <cell r="I111">
            <v>1344.19</v>
          </cell>
          <cell r="J111" t="str">
            <v>E-80,1</v>
          </cell>
          <cell r="K111">
            <v>0</v>
          </cell>
        </row>
        <row r="112">
          <cell r="A112">
            <v>81</v>
          </cell>
          <cell r="B112" t="str">
            <v>Camión playo</v>
          </cell>
          <cell r="C112">
            <v>217</v>
          </cell>
          <cell r="D112">
            <v>65000</v>
          </cell>
          <cell r="E112">
            <v>994500</v>
          </cell>
          <cell r="F112">
            <v>104.42</v>
          </cell>
          <cell r="G112">
            <v>78.319999999999993</v>
          </cell>
          <cell r="H112">
            <v>528.09</v>
          </cell>
          <cell r="I112">
            <v>710.83</v>
          </cell>
          <cell r="J112" t="str">
            <v>E-81</v>
          </cell>
          <cell r="K112">
            <v>0</v>
          </cell>
        </row>
        <row r="113">
          <cell r="A113">
            <v>82</v>
          </cell>
          <cell r="B113" t="str">
            <v>Acoplado playo</v>
          </cell>
          <cell r="C113">
            <v>0</v>
          </cell>
          <cell r="D113">
            <v>8000</v>
          </cell>
          <cell r="E113">
            <v>122400</v>
          </cell>
          <cell r="F113">
            <v>12.85</v>
          </cell>
          <cell r="G113">
            <v>9.64</v>
          </cell>
          <cell r="H113">
            <v>0</v>
          </cell>
          <cell r="I113">
            <v>22.490000000000002</v>
          </cell>
          <cell r="J113" t="str">
            <v>E-82</v>
          </cell>
          <cell r="K113">
            <v>0</v>
          </cell>
        </row>
        <row r="114">
          <cell r="A114">
            <v>82.1</v>
          </cell>
          <cell r="B114" t="str">
            <v>Acoplado Tanque</v>
          </cell>
          <cell r="C114">
            <v>20</v>
          </cell>
          <cell r="D114">
            <v>18095</v>
          </cell>
          <cell r="E114">
            <v>276900</v>
          </cell>
          <cell r="F114">
            <v>29.07</v>
          </cell>
          <cell r="G114">
            <v>21.8</v>
          </cell>
          <cell r="H114">
            <v>48.67</v>
          </cell>
          <cell r="I114">
            <v>99.54</v>
          </cell>
          <cell r="J114" t="str">
            <v>E-82,1</v>
          </cell>
          <cell r="K114">
            <v>0</v>
          </cell>
        </row>
        <row r="115">
          <cell r="A115">
            <v>83</v>
          </cell>
          <cell r="B115" t="str">
            <v>Camión p/ transporte vigas</v>
          </cell>
          <cell r="C115">
            <v>260</v>
          </cell>
          <cell r="D115">
            <v>155000</v>
          </cell>
          <cell r="E115">
            <v>2371500</v>
          </cell>
          <cell r="F115">
            <v>249.01</v>
          </cell>
          <cell r="G115">
            <v>186.76</v>
          </cell>
          <cell r="H115">
            <v>632.74</v>
          </cell>
          <cell r="I115">
            <v>1068.51</v>
          </cell>
          <cell r="J115" t="str">
            <v>E-83</v>
          </cell>
          <cell r="K115">
            <v>0</v>
          </cell>
        </row>
        <row r="116">
          <cell r="A116">
            <v>84</v>
          </cell>
          <cell r="B116" t="str">
            <v>Cortadora / dobladora</v>
          </cell>
          <cell r="C116">
            <v>10</v>
          </cell>
          <cell r="D116">
            <v>7500</v>
          </cell>
          <cell r="E116">
            <v>114800</v>
          </cell>
          <cell r="F116">
            <v>12.05</v>
          </cell>
          <cell r="G116">
            <v>9.0399999999999991</v>
          </cell>
          <cell r="H116">
            <v>24.34</v>
          </cell>
          <cell r="I116">
            <v>45.43</v>
          </cell>
          <cell r="J116" t="str">
            <v>E-84</v>
          </cell>
          <cell r="K116">
            <v>0</v>
          </cell>
        </row>
        <row r="117">
          <cell r="A117">
            <v>85</v>
          </cell>
          <cell r="B117" t="str">
            <v>Equipo p/ tesado e inyección incluye vainas y accesorios</v>
          </cell>
          <cell r="C117">
            <v>8</v>
          </cell>
          <cell r="D117">
            <v>4500</v>
          </cell>
          <cell r="E117">
            <v>68900</v>
          </cell>
          <cell r="F117">
            <v>7.23</v>
          </cell>
          <cell r="G117">
            <v>5.42</v>
          </cell>
          <cell r="H117">
            <v>19.47</v>
          </cell>
          <cell r="I117">
            <v>32.119999999999997</v>
          </cell>
          <cell r="J117" t="str">
            <v>E-85</v>
          </cell>
          <cell r="K117">
            <v>0</v>
          </cell>
        </row>
        <row r="118">
          <cell r="A118">
            <v>86</v>
          </cell>
          <cell r="B118" t="str">
            <v>Distribuidora de estabilizado</v>
          </cell>
          <cell r="C118">
            <v>65</v>
          </cell>
          <cell r="D118">
            <v>24500</v>
          </cell>
          <cell r="E118">
            <v>374900</v>
          </cell>
          <cell r="F118">
            <v>39.36</v>
          </cell>
          <cell r="G118">
            <v>29.52</v>
          </cell>
          <cell r="H118">
            <v>158.18</v>
          </cell>
          <cell r="I118">
            <v>227.06</v>
          </cell>
          <cell r="J118" t="str">
            <v>E-86</v>
          </cell>
          <cell r="K118">
            <v>0</v>
          </cell>
        </row>
        <row r="119">
          <cell r="A119">
            <v>87</v>
          </cell>
          <cell r="B119" t="str">
            <v>Grupo electrógeno</v>
          </cell>
          <cell r="C119">
            <v>415</v>
          </cell>
          <cell r="D119">
            <v>88831</v>
          </cell>
          <cell r="E119">
            <v>1359100</v>
          </cell>
          <cell r="F119">
            <v>142.71</v>
          </cell>
          <cell r="G119">
            <v>107.03</v>
          </cell>
          <cell r="H119">
            <v>1009.94</v>
          </cell>
          <cell r="I119">
            <v>1259.68</v>
          </cell>
          <cell r="J119" t="str">
            <v>E-87</v>
          </cell>
          <cell r="K119">
            <v>0</v>
          </cell>
        </row>
        <row r="120">
          <cell r="A120">
            <v>88</v>
          </cell>
          <cell r="B120" t="str">
            <v>Grúa todoterreno 30 Tn</v>
          </cell>
          <cell r="C120">
            <v>139</v>
          </cell>
          <cell r="D120">
            <v>300000</v>
          </cell>
          <cell r="E120">
            <v>4590000</v>
          </cell>
          <cell r="F120">
            <v>481.95</v>
          </cell>
          <cell r="G120">
            <v>361.46</v>
          </cell>
          <cell r="H120">
            <v>338.27</v>
          </cell>
          <cell r="I120">
            <v>1181.6799999999998</v>
          </cell>
          <cell r="J120" t="str">
            <v>E-88</v>
          </cell>
          <cell r="K120">
            <v>0</v>
          </cell>
        </row>
        <row r="121">
          <cell r="A121">
            <v>89</v>
          </cell>
          <cell r="B121" t="str">
            <v>Bomba de hormigón</v>
          </cell>
          <cell r="C121">
            <v>48</v>
          </cell>
          <cell r="D121">
            <v>66800</v>
          </cell>
          <cell r="E121">
            <v>1022000</v>
          </cell>
          <cell r="F121">
            <v>107.31</v>
          </cell>
          <cell r="G121">
            <v>80.48</v>
          </cell>
          <cell r="H121">
            <v>116.81</v>
          </cell>
          <cell r="I121">
            <v>304.60000000000002</v>
          </cell>
          <cell r="J121" t="str">
            <v>E-89</v>
          </cell>
          <cell r="K121">
            <v>0</v>
          </cell>
        </row>
        <row r="122">
          <cell r="A122">
            <v>90</v>
          </cell>
          <cell r="B122" t="str">
            <v>Equipo menor</v>
          </cell>
          <cell r="C122">
            <v>5</v>
          </cell>
          <cell r="D122">
            <v>5000</v>
          </cell>
          <cell r="E122">
            <v>76500</v>
          </cell>
          <cell r="F122">
            <v>8.0299999999999994</v>
          </cell>
          <cell r="G122">
            <v>6.02</v>
          </cell>
          <cell r="H122">
            <v>12.17</v>
          </cell>
          <cell r="I122">
            <v>26.22</v>
          </cell>
          <cell r="J122" t="str">
            <v>E-90</v>
          </cell>
          <cell r="K122">
            <v>0</v>
          </cell>
        </row>
        <row r="123">
          <cell r="A123">
            <v>91</v>
          </cell>
          <cell r="B123" t="str">
            <v>Martillo rompepavimento</v>
          </cell>
          <cell r="D123">
            <v>2350</v>
          </cell>
          <cell r="E123">
            <v>36000</v>
          </cell>
          <cell r="F123">
            <v>3.78</v>
          </cell>
          <cell r="G123">
            <v>2.84</v>
          </cell>
          <cell r="H123">
            <v>0</v>
          </cell>
          <cell r="I123">
            <v>6.6199999999999992</v>
          </cell>
          <cell r="J123" t="str">
            <v>E-91</v>
          </cell>
          <cell r="K123">
            <v>0</v>
          </cell>
        </row>
        <row r="124">
          <cell r="A124">
            <v>92</v>
          </cell>
          <cell r="B124" t="str">
            <v>Equipos varios Planta premoldeado</v>
          </cell>
          <cell r="C124">
            <v>70</v>
          </cell>
          <cell r="D124">
            <v>140000</v>
          </cell>
          <cell r="E124">
            <v>2142000</v>
          </cell>
          <cell r="F124">
            <v>224.91</v>
          </cell>
          <cell r="G124">
            <v>168.68</v>
          </cell>
          <cell r="H124">
            <v>170.35</v>
          </cell>
          <cell r="I124">
            <v>563.94000000000005</v>
          </cell>
          <cell r="J124" t="str">
            <v>E-92</v>
          </cell>
          <cell r="K124">
            <v>0</v>
          </cell>
        </row>
        <row r="125">
          <cell r="A125">
            <v>93</v>
          </cell>
          <cell r="B125" t="str">
            <v>Equipo de postensado</v>
          </cell>
          <cell r="C125">
            <v>0</v>
          </cell>
          <cell r="D125">
            <v>105000</v>
          </cell>
          <cell r="E125">
            <v>1606500</v>
          </cell>
          <cell r="F125">
            <v>168.68</v>
          </cell>
          <cell r="G125">
            <v>126.51</v>
          </cell>
          <cell r="H125">
            <v>0</v>
          </cell>
          <cell r="I125">
            <v>295.19</v>
          </cell>
          <cell r="J125" t="str">
            <v>E-93</v>
          </cell>
          <cell r="K125">
            <v>0</v>
          </cell>
        </row>
        <row r="126">
          <cell r="A126">
            <v>94</v>
          </cell>
          <cell r="B126" t="str">
            <v>Grúa todoterreno 24Tn</v>
          </cell>
          <cell r="C126">
            <v>139</v>
          </cell>
          <cell r="D126">
            <v>320000</v>
          </cell>
          <cell r="E126">
            <v>4896000</v>
          </cell>
          <cell r="F126">
            <v>514.08000000000004</v>
          </cell>
          <cell r="G126">
            <v>385.56</v>
          </cell>
          <cell r="H126">
            <v>338.27</v>
          </cell>
          <cell r="I126">
            <v>1237.9100000000001</v>
          </cell>
          <cell r="J126" t="str">
            <v>E-94</v>
          </cell>
          <cell r="K126">
            <v>0</v>
          </cell>
        </row>
        <row r="127">
          <cell r="A127">
            <v>95</v>
          </cell>
          <cell r="B127" t="str">
            <v>Vibrador de inmersión</v>
          </cell>
          <cell r="C127">
            <v>5</v>
          </cell>
          <cell r="D127">
            <v>600</v>
          </cell>
          <cell r="E127">
            <v>9200</v>
          </cell>
          <cell r="F127">
            <v>0.97</v>
          </cell>
          <cell r="G127">
            <v>0.73</v>
          </cell>
          <cell r="H127">
            <v>12.17</v>
          </cell>
          <cell r="I127">
            <v>13.87</v>
          </cell>
          <cell r="J127" t="str">
            <v>E-95</v>
          </cell>
          <cell r="K127">
            <v>0</v>
          </cell>
        </row>
        <row r="128">
          <cell r="A128">
            <v>96</v>
          </cell>
          <cell r="B128" t="str">
            <v>Electrobomba de achique sumergible</v>
          </cell>
          <cell r="D128">
            <v>2000</v>
          </cell>
          <cell r="E128">
            <v>30600</v>
          </cell>
          <cell r="F128">
            <v>3.21</v>
          </cell>
          <cell r="G128">
            <v>2.41</v>
          </cell>
          <cell r="H128">
            <v>0</v>
          </cell>
          <cell r="I128">
            <v>5.62</v>
          </cell>
          <cell r="J128" t="str">
            <v>E-96</v>
          </cell>
          <cell r="K128">
            <v>0</v>
          </cell>
        </row>
        <row r="129">
          <cell r="A129">
            <v>97</v>
          </cell>
          <cell r="B129" t="str">
            <v>Sierra circular</v>
          </cell>
          <cell r="D129">
            <v>400</v>
          </cell>
          <cell r="E129">
            <v>6100</v>
          </cell>
          <cell r="F129">
            <v>0.64</v>
          </cell>
          <cell r="G129">
            <v>0.48</v>
          </cell>
          <cell r="H129">
            <v>0</v>
          </cell>
          <cell r="I129">
            <v>1.1200000000000001</v>
          </cell>
          <cell r="J129" t="str">
            <v>E-97</v>
          </cell>
          <cell r="K129">
            <v>0</v>
          </cell>
        </row>
        <row r="130">
          <cell r="A130">
            <v>98</v>
          </cell>
          <cell r="B130" t="str">
            <v>Pulverizador a mochila</v>
          </cell>
          <cell r="D130">
            <v>200</v>
          </cell>
          <cell r="E130">
            <v>3100</v>
          </cell>
          <cell r="F130">
            <v>0.33</v>
          </cell>
          <cell r="G130">
            <v>0.25</v>
          </cell>
          <cell r="H130">
            <v>0</v>
          </cell>
          <cell r="I130">
            <v>0.58000000000000007</v>
          </cell>
          <cell r="J130" t="str">
            <v>E-98</v>
          </cell>
          <cell r="K130">
            <v>0</v>
          </cell>
        </row>
        <row r="131">
          <cell r="A131">
            <v>99</v>
          </cell>
          <cell r="B131" t="str">
            <v>Regla vibradora</v>
          </cell>
          <cell r="C131">
            <v>6</v>
          </cell>
          <cell r="D131">
            <v>3240</v>
          </cell>
          <cell r="E131">
            <v>49600</v>
          </cell>
          <cell r="F131">
            <v>5.21</v>
          </cell>
          <cell r="G131">
            <v>3.91</v>
          </cell>
          <cell r="H131">
            <v>14.6</v>
          </cell>
          <cell r="I131">
            <v>23.72</v>
          </cell>
          <cell r="J131" t="str">
            <v>E-99</v>
          </cell>
          <cell r="K131">
            <v>0</v>
          </cell>
        </row>
        <row r="132">
          <cell r="A132">
            <v>100</v>
          </cell>
          <cell r="B132" t="str">
            <v>Zanjadora</v>
          </cell>
          <cell r="C132">
            <v>75</v>
          </cell>
          <cell r="D132">
            <v>10000</v>
          </cell>
          <cell r="E132">
            <v>153000</v>
          </cell>
          <cell r="F132">
            <v>16.07</v>
          </cell>
          <cell r="G132">
            <v>12.05</v>
          </cell>
          <cell r="H132">
            <v>182.52</v>
          </cell>
          <cell r="I132">
            <v>210.64000000000001</v>
          </cell>
          <cell r="J132" t="str">
            <v>E-100</v>
          </cell>
          <cell r="K132">
            <v>0</v>
          </cell>
        </row>
        <row r="133">
          <cell r="A133">
            <v>101</v>
          </cell>
          <cell r="B133" t="str">
            <v>Vibroapisonador</v>
          </cell>
          <cell r="D133">
            <v>3350</v>
          </cell>
          <cell r="E133">
            <v>51300</v>
          </cell>
          <cell r="F133">
            <v>5.39</v>
          </cell>
          <cell r="G133">
            <v>4.04</v>
          </cell>
          <cell r="H133">
            <v>0</v>
          </cell>
          <cell r="I133">
            <v>9.43</v>
          </cell>
          <cell r="J133" t="str">
            <v>E-101</v>
          </cell>
          <cell r="K133">
            <v>0</v>
          </cell>
        </row>
        <row r="134">
          <cell r="A134">
            <v>102</v>
          </cell>
          <cell r="B134" t="str">
            <v>Camioneta 4x4 DC</v>
          </cell>
          <cell r="C134">
            <v>110</v>
          </cell>
          <cell r="D134">
            <v>38740.9200968523</v>
          </cell>
          <cell r="E134">
            <v>592700</v>
          </cell>
          <cell r="F134">
            <v>62.23</v>
          </cell>
          <cell r="G134">
            <v>46.67</v>
          </cell>
          <cell r="H134">
            <v>267.7</v>
          </cell>
          <cell r="I134">
            <v>376.6</v>
          </cell>
          <cell r="J134" t="str">
            <v>E-102</v>
          </cell>
          <cell r="K134">
            <v>0</v>
          </cell>
        </row>
        <row r="135">
          <cell r="A135">
            <v>103</v>
          </cell>
          <cell r="B135" t="str">
            <v>Equipo p/ gunitado</v>
          </cell>
          <cell r="C135">
            <v>45</v>
          </cell>
          <cell r="D135">
            <v>214000</v>
          </cell>
          <cell r="E135">
            <v>3274200</v>
          </cell>
          <cell r="F135">
            <v>343.79</v>
          </cell>
          <cell r="G135">
            <v>257.83999999999997</v>
          </cell>
          <cell r="H135">
            <v>109.51</v>
          </cell>
          <cell r="I135">
            <v>711.14</v>
          </cell>
          <cell r="J135" t="str">
            <v>E-103</v>
          </cell>
          <cell r="K135">
            <v>0</v>
          </cell>
        </row>
        <row r="136">
          <cell r="A136">
            <v>104</v>
          </cell>
          <cell r="B136" t="str">
            <v>Alquiler de pórtico Megalift y servicio de montaje</v>
          </cell>
          <cell r="I136">
            <v>11262.376237623763</v>
          </cell>
          <cell r="J136" t="str">
            <v>E-104</v>
          </cell>
          <cell r="K136" t="str">
            <v>sub</v>
          </cell>
        </row>
        <row r="137">
          <cell r="A137">
            <v>105</v>
          </cell>
          <cell r="B137" t="str">
            <v>Prueba de Carga (Subcontrato por concesionario)</v>
          </cell>
          <cell r="I137">
            <v>2681.5181518151817</v>
          </cell>
          <cell r="J137" t="str">
            <v>E-105</v>
          </cell>
          <cell r="K137" t="str">
            <v>sub</v>
          </cell>
        </row>
        <row r="143">
          <cell r="A143">
            <v>0</v>
          </cell>
          <cell r="B143" t="str">
            <v xml:space="preserve"> </v>
          </cell>
          <cell r="C143" t="str">
            <v xml:space="preserve"> 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A144">
            <v>1</v>
          </cell>
          <cell r="B144" t="str">
            <v>Agregado pétreo triturado 0-4</v>
          </cell>
          <cell r="C144" t="str">
            <v>Tn</v>
          </cell>
          <cell r="D144">
            <v>102</v>
          </cell>
          <cell r="E144">
            <v>0</v>
          </cell>
          <cell r="F144">
            <v>0.15</v>
          </cell>
          <cell r="G144">
            <v>600</v>
          </cell>
          <cell r="H144">
            <v>102</v>
          </cell>
          <cell r="I144">
            <v>0</v>
          </cell>
          <cell r="J144">
            <v>0.15</v>
          </cell>
          <cell r="K144">
            <v>90</v>
          </cell>
          <cell r="L144">
            <v>192</v>
          </cell>
          <cell r="M144">
            <v>0</v>
          </cell>
        </row>
        <row r="145">
          <cell r="A145">
            <v>2</v>
          </cell>
          <cell r="B145" t="str">
            <v>Agregado pétreo triturado 0-6</v>
          </cell>
          <cell r="C145" t="str">
            <v>Tn</v>
          </cell>
          <cell r="D145">
            <v>90</v>
          </cell>
          <cell r="E145">
            <v>0</v>
          </cell>
          <cell r="F145">
            <v>0.15</v>
          </cell>
          <cell r="G145">
            <v>600</v>
          </cell>
          <cell r="H145">
            <v>90</v>
          </cell>
          <cell r="I145">
            <v>0</v>
          </cell>
          <cell r="J145">
            <v>0.15</v>
          </cell>
          <cell r="K145">
            <v>90</v>
          </cell>
          <cell r="L145">
            <v>180</v>
          </cell>
          <cell r="M145">
            <v>0</v>
          </cell>
        </row>
        <row r="146">
          <cell r="A146">
            <v>4</v>
          </cell>
          <cell r="B146" t="str">
            <v>Agregado pétreo triturado 6-19</v>
          </cell>
          <cell r="C146" t="str">
            <v>Tn</v>
          </cell>
          <cell r="D146">
            <v>232</v>
          </cell>
          <cell r="E146">
            <v>0</v>
          </cell>
          <cell r="F146">
            <v>0.15</v>
          </cell>
          <cell r="G146">
            <v>600</v>
          </cell>
          <cell r="H146">
            <v>232</v>
          </cell>
          <cell r="I146">
            <v>0</v>
          </cell>
          <cell r="J146">
            <v>0.15</v>
          </cell>
          <cell r="K146">
            <v>90</v>
          </cell>
          <cell r="L146">
            <v>322</v>
          </cell>
          <cell r="M146">
            <v>0</v>
          </cell>
        </row>
        <row r="147">
          <cell r="A147">
            <v>3</v>
          </cell>
          <cell r="B147" t="str">
            <v>Agregado pétreo triturado 12-19</v>
          </cell>
          <cell r="C147" t="str">
            <v>Tn</v>
          </cell>
          <cell r="D147">
            <v>42</v>
          </cell>
          <cell r="E147">
            <v>0</v>
          </cell>
          <cell r="F147">
            <v>0.15</v>
          </cell>
          <cell r="G147">
            <v>600</v>
          </cell>
          <cell r="H147">
            <v>42</v>
          </cell>
          <cell r="I147">
            <v>0</v>
          </cell>
          <cell r="J147">
            <v>0.15</v>
          </cell>
          <cell r="K147">
            <v>90</v>
          </cell>
          <cell r="L147">
            <v>132</v>
          </cell>
          <cell r="M147">
            <v>0</v>
          </cell>
        </row>
        <row r="148">
          <cell r="A148">
            <v>5.0999999999999996</v>
          </cell>
          <cell r="B148" t="str">
            <v>Agregado pétreo triturado 10-20</v>
          </cell>
          <cell r="C148" t="str">
            <v>Tn</v>
          </cell>
          <cell r="D148">
            <v>190</v>
          </cell>
          <cell r="E148">
            <v>0</v>
          </cell>
          <cell r="F148">
            <v>0.15</v>
          </cell>
          <cell r="G148">
            <v>600</v>
          </cell>
          <cell r="H148">
            <v>190</v>
          </cell>
          <cell r="I148">
            <v>0</v>
          </cell>
          <cell r="J148">
            <v>0.15</v>
          </cell>
          <cell r="K148">
            <v>90</v>
          </cell>
          <cell r="L148">
            <v>280</v>
          </cell>
          <cell r="M148">
            <v>0</v>
          </cell>
        </row>
        <row r="149">
          <cell r="A149">
            <v>5</v>
          </cell>
          <cell r="B149" t="str">
            <v>Agregado pétreo triturado 10-30</v>
          </cell>
          <cell r="C149" t="str">
            <v>Tn</v>
          </cell>
          <cell r="D149">
            <v>178</v>
          </cell>
          <cell r="E149">
            <v>0</v>
          </cell>
          <cell r="F149">
            <v>0.15</v>
          </cell>
          <cell r="G149">
            <v>600</v>
          </cell>
          <cell r="H149">
            <v>178</v>
          </cell>
          <cell r="I149">
            <v>0</v>
          </cell>
          <cell r="J149">
            <v>0.15</v>
          </cell>
          <cell r="K149">
            <v>90</v>
          </cell>
          <cell r="L149">
            <v>268</v>
          </cell>
          <cell r="M149">
            <v>0</v>
          </cell>
        </row>
        <row r="150">
          <cell r="A150">
            <v>6</v>
          </cell>
          <cell r="B150" t="str">
            <v>Agregado pétreo triturado 6-25</v>
          </cell>
          <cell r="C150" t="str">
            <v>Tn</v>
          </cell>
          <cell r="D150">
            <v>39.76</v>
          </cell>
          <cell r="E150">
            <v>0</v>
          </cell>
          <cell r="F150">
            <v>0.15</v>
          </cell>
          <cell r="G150">
            <v>600</v>
          </cell>
          <cell r="H150">
            <v>39.76</v>
          </cell>
          <cell r="I150">
            <v>0</v>
          </cell>
          <cell r="J150">
            <v>0.15</v>
          </cell>
          <cell r="K150">
            <v>90</v>
          </cell>
          <cell r="L150">
            <v>129.76</v>
          </cell>
          <cell r="M150">
            <v>0</v>
          </cell>
        </row>
        <row r="151">
          <cell r="A151">
            <v>7</v>
          </cell>
          <cell r="B151" t="str">
            <v>Agregado pétreo triturado 6-32</v>
          </cell>
          <cell r="C151" t="str">
            <v>Tn</v>
          </cell>
          <cell r="D151">
            <v>39.36</v>
          </cell>
          <cell r="E151">
            <v>0</v>
          </cell>
          <cell r="F151">
            <v>0.15</v>
          </cell>
          <cell r="G151">
            <v>600</v>
          </cell>
          <cell r="H151">
            <v>39.36</v>
          </cell>
          <cell r="I151">
            <v>0</v>
          </cell>
          <cell r="J151">
            <v>0.15</v>
          </cell>
          <cell r="K151">
            <v>90</v>
          </cell>
          <cell r="L151">
            <v>129.36000000000001</v>
          </cell>
          <cell r="M151">
            <v>0</v>
          </cell>
        </row>
        <row r="152">
          <cell r="A152">
            <v>8</v>
          </cell>
          <cell r="B152" t="str">
            <v>Agregado pétreo triturado 6-12</v>
          </cell>
          <cell r="C152" t="str">
            <v>Tn</v>
          </cell>
          <cell r="D152">
            <v>63.025338362068958</v>
          </cell>
          <cell r="E152">
            <v>0</v>
          </cell>
          <cell r="F152">
            <v>0.15</v>
          </cell>
          <cell r="G152">
            <v>600</v>
          </cell>
          <cell r="H152">
            <v>63.03</v>
          </cell>
          <cell r="I152">
            <v>0</v>
          </cell>
          <cell r="J152">
            <v>0.15</v>
          </cell>
          <cell r="K152">
            <v>90</v>
          </cell>
          <cell r="L152">
            <v>153.03</v>
          </cell>
          <cell r="M152">
            <v>0</v>
          </cell>
        </row>
        <row r="153">
          <cell r="A153">
            <v>9</v>
          </cell>
          <cell r="B153" t="str">
            <v>Agregado pétreo triturado 30-50</v>
          </cell>
          <cell r="C153" t="str">
            <v>Tn</v>
          </cell>
          <cell r="D153">
            <v>31.8</v>
          </cell>
          <cell r="E153">
            <v>0</v>
          </cell>
          <cell r="F153">
            <v>0.15</v>
          </cell>
          <cell r="G153">
            <v>600</v>
          </cell>
          <cell r="H153">
            <v>31.8</v>
          </cell>
          <cell r="I153">
            <v>0</v>
          </cell>
          <cell r="J153">
            <v>0.15</v>
          </cell>
          <cell r="K153">
            <v>90</v>
          </cell>
          <cell r="L153">
            <v>121.8</v>
          </cell>
          <cell r="M153">
            <v>0</v>
          </cell>
        </row>
        <row r="154">
          <cell r="A154">
            <v>9.1</v>
          </cell>
          <cell r="B154" t="str">
            <v>Agregado pétreo p/ estabilizado</v>
          </cell>
          <cell r="C154" t="str">
            <v>Tn</v>
          </cell>
          <cell r="D154">
            <v>24.5</v>
          </cell>
          <cell r="E154">
            <v>0</v>
          </cell>
          <cell r="F154">
            <v>0.15</v>
          </cell>
          <cell r="G154">
            <v>600</v>
          </cell>
          <cell r="H154">
            <v>24.5</v>
          </cell>
          <cell r="I154">
            <v>0</v>
          </cell>
          <cell r="J154">
            <v>0.15</v>
          </cell>
          <cell r="K154">
            <v>90</v>
          </cell>
          <cell r="L154">
            <v>114.5</v>
          </cell>
          <cell r="M154">
            <v>0</v>
          </cell>
        </row>
        <row r="155">
          <cell r="A155">
            <v>9.1999999999999993</v>
          </cell>
          <cell r="B155" t="str">
            <v>Agregado pétreo en obra</v>
          </cell>
          <cell r="C155" t="str">
            <v>m³</v>
          </cell>
          <cell r="D155">
            <v>88.78</v>
          </cell>
          <cell r="E155">
            <v>0</v>
          </cell>
          <cell r="H155">
            <v>88.78</v>
          </cell>
          <cell r="I155">
            <v>0</v>
          </cell>
          <cell r="J155">
            <v>0</v>
          </cell>
          <cell r="K155">
            <v>0</v>
          </cell>
          <cell r="L155">
            <v>88.78</v>
          </cell>
          <cell r="M155">
            <v>0</v>
          </cell>
        </row>
        <row r="156">
          <cell r="A156">
            <v>10</v>
          </cell>
          <cell r="B156" t="str">
            <v>Arena silicea fina</v>
          </cell>
          <cell r="C156" t="str">
            <v>m3</v>
          </cell>
          <cell r="D156">
            <v>600</v>
          </cell>
          <cell r="E156">
            <v>0</v>
          </cell>
          <cell r="F156">
            <v>0.15</v>
          </cell>
          <cell r="G156">
            <v>200</v>
          </cell>
          <cell r="H156">
            <v>600</v>
          </cell>
          <cell r="I156">
            <v>0</v>
          </cell>
          <cell r="J156">
            <v>0.15</v>
          </cell>
          <cell r="K156">
            <v>30</v>
          </cell>
          <cell r="L156">
            <v>630</v>
          </cell>
          <cell r="M156">
            <v>0</v>
          </cell>
        </row>
        <row r="157">
          <cell r="A157">
            <v>12</v>
          </cell>
          <cell r="B157" t="str">
            <v>Arena silicea gruesa</v>
          </cell>
          <cell r="C157" t="str">
            <v>Tn</v>
          </cell>
          <cell r="D157">
            <v>18.7</v>
          </cell>
          <cell r="E157">
            <v>0</v>
          </cell>
          <cell r="F157">
            <v>0.15</v>
          </cell>
          <cell r="G157">
            <v>200</v>
          </cell>
          <cell r="H157">
            <v>18.7</v>
          </cell>
          <cell r="I157">
            <v>0</v>
          </cell>
          <cell r="J157">
            <v>0.15</v>
          </cell>
          <cell r="K157">
            <v>30</v>
          </cell>
          <cell r="L157">
            <v>48.7</v>
          </cell>
          <cell r="M157">
            <v>0</v>
          </cell>
        </row>
        <row r="158">
          <cell r="A158">
            <v>14</v>
          </cell>
          <cell r="B158" t="str">
            <v>Cemento Portland normal (en bolsas 50kg)</v>
          </cell>
          <cell r="C158" t="str">
            <v>bol.</v>
          </cell>
          <cell r="D158">
            <v>96</v>
          </cell>
          <cell r="F158">
            <v>0.15</v>
          </cell>
          <cell r="G158">
            <v>200</v>
          </cell>
          <cell r="H158">
            <v>96</v>
          </cell>
          <cell r="I158">
            <v>0</v>
          </cell>
          <cell r="J158">
            <v>0.15</v>
          </cell>
          <cell r="K158">
            <v>30</v>
          </cell>
          <cell r="L158">
            <v>126</v>
          </cell>
          <cell r="M158">
            <v>0</v>
          </cell>
        </row>
        <row r="159">
          <cell r="A159">
            <v>15</v>
          </cell>
          <cell r="B159" t="str">
            <v>Cemento Portland normal (granel)</v>
          </cell>
          <cell r="C159" t="str">
            <v>Tn</v>
          </cell>
          <cell r="D159">
            <v>1534.17</v>
          </cell>
          <cell r="E159">
            <v>0</v>
          </cell>
          <cell r="F159">
            <v>0.15</v>
          </cell>
          <cell r="G159">
            <v>200</v>
          </cell>
          <cell r="H159">
            <v>1534.17</v>
          </cell>
          <cell r="I159">
            <v>0</v>
          </cell>
          <cell r="J159">
            <v>0.15</v>
          </cell>
          <cell r="K159">
            <v>30</v>
          </cell>
          <cell r="L159">
            <v>1564.17</v>
          </cell>
          <cell r="M159">
            <v>0</v>
          </cell>
        </row>
        <row r="160">
          <cell r="A160">
            <v>16</v>
          </cell>
          <cell r="B160" t="str">
            <v>Cal aerea (en bolsas 25kg)</v>
          </cell>
          <cell r="C160" t="str">
            <v>bol.</v>
          </cell>
          <cell r="D160">
            <v>113</v>
          </cell>
          <cell r="F160">
            <v>0.15</v>
          </cell>
          <cell r="G160">
            <v>200</v>
          </cell>
          <cell r="H160">
            <v>113</v>
          </cell>
          <cell r="I160">
            <v>0</v>
          </cell>
          <cell r="J160">
            <v>0.15</v>
          </cell>
          <cell r="K160">
            <v>30</v>
          </cell>
          <cell r="L160">
            <v>143</v>
          </cell>
          <cell r="M160">
            <v>0</v>
          </cell>
        </row>
        <row r="161">
          <cell r="A161">
            <v>18</v>
          </cell>
          <cell r="B161" t="str">
            <v>Filler calcáreo</v>
          </cell>
          <cell r="C161" t="str">
            <v>Tn</v>
          </cell>
          <cell r="D161">
            <v>236.98956846473027</v>
          </cell>
          <cell r="E161">
            <v>0</v>
          </cell>
          <cell r="F161">
            <v>0.15</v>
          </cell>
          <cell r="G161">
            <v>200</v>
          </cell>
          <cell r="H161">
            <v>236.99</v>
          </cell>
          <cell r="I161">
            <v>0</v>
          </cell>
          <cell r="J161">
            <v>0.15</v>
          </cell>
          <cell r="K161">
            <v>30</v>
          </cell>
          <cell r="L161">
            <v>266.99</v>
          </cell>
          <cell r="M161">
            <v>0</v>
          </cell>
        </row>
        <row r="162">
          <cell r="A162">
            <v>19</v>
          </cell>
          <cell r="B162" t="str">
            <v>Fibra Celulósica</v>
          </cell>
          <cell r="C162" t="str">
            <v>Tn</v>
          </cell>
          <cell r="D162">
            <v>8150</v>
          </cell>
          <cell r="E162">
            <v>0</v>
          </cell>
          <cell r="F162">
            <v>0.15</v>
          </cell>
          <cell r="G162">
            <v>450</v>
          </cell>
          <cell r="H162">
            <v>8150</v>
          </cell>
          <cell r="I162">
            <v>0</v>
          </cell>
          <cell r="J162">
            <v>0.15</v>
          </cell>
          <cell r="K162">
            <v>67.5</v>
          </cell>
          <cell r="L162">
            <v>8217.5</v>
          </cell>
          <cell r="M162">
            <v>0</v>
          </cell>
        </row>
        <row r="163">
          <cell r="A163">
            <v>20</v>
          </cell>
          <cell r="B163" t="str">
            <v>Subcontrato  de  ejecucion de concreto asfaltico  inc. Mat. esp. 7cm</v>
          </cell>
          <cell r="C163" t="str">
            <v>m2</v>
          </cell>
          <cell r="D163">
            <v>1300</v>
          </cell>
          <cell r="F163">
            <v>0.28999999999999998</v>
          </cell>
          <cell r="G163">
            <v>500</v>
          </cell>
          <cell r="H163">
            <v>1300</v>
          </cell>
          <cell r="I163">
            <v>0</v>
          </cell>
          <cell r="J163">
            <v>0.28999999999999998</v>
          </cell>
          <cell r="K163">
            <v>145</v>
          </cell>
          <cell r="L163">
            <v>1445</v>
          </cell>
          <cell r="M163" t="str">
            <v>as</v>
          </cell>
        </row>
        <row r="164">
          <cell r="A164">
            <v>20.100000000000001</v>
          </cell>
          <cell r="B164" t="str">
            <v>Cemento asfáltico modificado c/ polímeros</v>
          </cell>
          <cell r="C164" t="str">
            <v>Tn</v>
          </cell>
          <cell r="D164">
            <v>1650</v>
          </cell>
          <cell r="E164">
            <v>0</v>
          </cell>
          <cell r="F164">
            <v>0.28999999999999998</v>
          </cell>
          <cell r="G164">
            <v>500</v>
          </cell>
          <cell r="H164">
            <v>1650</v>
          </cell>
          <cell r="I164">
            <v>0</v>
          </cell>
          <cell r="J164">
            <v>0.28999999999999998</v>
          </cell>
          <cell r="K164">
            <v>145</v>
          </cell>
          <cell r="L164">
            <v>1795</v>
          </cell>
          <cell r="M164" t="str">
            <v>as</v>
          </cell>
        </row>
        <row r="165">
          <cell r="A165">
            <v>22</v>
          </cell>
          <cell r="B165" t="str">
            <v>Emulsión asfáltica</v>
          </cell>
          <cell r="C165" t="str">
            <v>Tn</v>
          </cell>
          <cell r="D165">
            <v>1532.25</v>
          </cell>
          <cell r="E165">
            <v>0</v>
          </cell>
          <cell r="F165">
            <v>0.28999999999999998</v>
          </cell>
          <cell r="G165">
            <v>500</v>
          </cell>
          <cell r="H165">
            <v>1532.25</v>
          </cell>
          <cell r="I165">
            <v>0</v>
          </cell>
          <cell r="J165">
            <v>0.28999999999999998</v>
          </cell>
          <cell r="K165">
            <v>145</v>
          </cell>
          <cell r="L165">
            <v>1677.25</v>
          </cell>
          <cell r="M165" t="str">
            <v>as</v>
          </cell>
        </row>
        <row r="166">
          <cell r="A166">
            <v>23</v>
          </cell>
          <cell r="B166" t="str">
            <v>Emulsión asfáltica rotura rápida EBCR 0</v>
          </cell>
          <cell r="C166" t="str">
            <v>Tn</v>
          </cell>
          <cell r="D166">
            <v>1532.25</v>
          </cell>
          <cell r="E166">
            <v>0</v>
          </cell>
          <cell r="F166">
            <v>0.28999999999999998</v>
          </cell>
          <cell r="G166">
            <v>500</v>
          </cell>
          <cell r="H166">
            <v>1532.25</v>
          </cell>
          <cell r="I166">
            <v>0</v>
          </cell>
          <cell r="J166">
            <v>0.28999999999999998</v>
          </cell>
          <cell r="K166">
            <v>145</v>
          </cell>
          <cell r="L166">
            <v>1677.25</v>
          </cell>
          <cell r="M166" t="str">
            <v>as</v>
          </cell>
        </row>
        <row r="167">
          <cell r="A167">
            <v>24</v>
          </cell>
          <cell r="B167" t="str">
            <v>Imprimación asfáltica</v>
          </cell>
          <cell r="C167" t="str">
            <v>m2</v>
          </cell>
          <cell r="D167">
            <v>7.8000000000000007</v>
          </cell>
          <cell r="E167">
            <v>0</v>
          </cell>
          <cell r="F167">
            <v>0.28999999999999998</v>
          </cell>
          <cell r="G167">
            <v>500</v>
          </cell>
          <cell r="H167">
            <v>7.8</v>
          </cell>
          <cell r="I167">
            <v>0</v>
          </cell>
          <cell r="J167">
            <v>0.28999999999999998</v>
          </cell>
          <cell r="K167">
            <v>145</v>
          </cell>
          <cell r="L167">
            <v>152.80000000000001</v>
          </cell>
          <cell r="M167" t="str">
            <v>as</v>
          </cell>
        </row>
        <row r="168">
          <cell r="A168">
            <v>25</v>
          </cell>
          <cell r="B168" t="str">
            <v>Subcont.repav. Asfáltica de calles esp.:5 cm</v>
          </cell>
          <cell r="C168" t="str">
            <v>Tn</v>
          </cell>
          <cell r="D168">
            <v>182</v>
          </cell>
          <cell r="E168">
            <v>0</v>
          </cell>
          <cell r="F168">
            <v>0.28999999999999998</v>
          </cell>
          <cell r="G168">
            <v>500</v>
          </cell>
          <cell r="H168">
            <v>182</v>
          </cell>
          <cell r="I168">
            <v>0</v>
          </cell>
          <cell r="J168">
            <v>0.28999999999999998</v>
          </cell>
          <cell r="K168">
            <v>145</v>
          </cell>
          <cell r="L168">
            <v>327</v>
          </cell>
          <cell r="M168" t="str">
            <v>sub</v>
          </cell>
        </row>
        <row r="169">
          <cell r="A169">
            <v>26</v>
          </cell>
          <cell r="B169" t="str">
            <v>Fuel oil</v>
          </cell>
          <cell r="C169" t="str">
            <v>Tn</v>
          </cell>
          <cell r="D169">
            <v>2012</v>
          </cell>
          <cell r="E169">
            <v>0</v>
          </cell>
          <cell r="F169">
            <v>0.28999999999999998</v>
          </cell>
          <cell r="G169">
            <v>500</v>
          </cell>
          <cell r="H169">
            <v>2012</v>
          </cell>
          <cell r="I169">
            <v>0</v>
          </cell>
          <cell r="J169">
            <v>0.28999999999999998</v>
          </cell>
          <cell r="K169">
            <v>145</v>
          </cell>
          <cell r="L169">
            <v>2157</v>
          </cell>
          <cell r="M169" t="str">
            <v>com</v>
          </cell>
        </row>
        <row r="170">
          <cell r="A170">
            <v>27</v>
          </cell>
          <cell r="B170" t="str">
            <v>Mejorador de adherencia</v>
          </cell>
          <cell r="C170" t="str">
            <v>Kg</v>
          </cell>
          <cell r="D170">
            <v>13.756418490566041</v>
          </cell>
          <cell r="E170">
            <v>0</v>
          </cell>
          <cell r="H170">
            <v>13.76</v>
          </cell>
          <cell r="I170">
            <v>0</v>
          </cell>
          <cell r="J170">
            <v>0</v>
          </cell>
          <cell r="K170">
            <v>0</v>
          </cell>
          <cell r="L170">
            <v>13.76</v>
          </cell>
          <cell r="M170" t="str">
            <v>as</v>
          </cell>
        </row>
        <row r="171">
          <cell r="A171">
            <v>28</v>
          </cell>
          <cell r="B171" t="str">
            <v>Asfalto modificado c/ polímeros</v>
          </cell>
          <cell r="C171" t="str">
            <v>Kg</v>
          </cell>
          <cell r="D171">
            <v>17.170000000000002</v>
          </cell>
          <cell r="E171">
            <v>0</v>
          </cell>
          <cell r="H171">
            <v>17.170000000000002</v>
          </cell>
          <cell r="I171">
            <v>0</v>
          </cell>
          <cell r="J171">
            <v>0</v>
          </cell>
          <cell r="K171">
            <v>0</v>
          </cell>
          <cell r="L171">
            <v>17.170000000000002</v>
          </cell>
          <cell r="M171" t="str">
            <v>as</v>
          </cell>
        </row>
        <row r="172">
          <cell r="A172">
            <v>29</v>
          </cell>
          <cell r="B172" t="str">
            <v>Mezcla 70/30</v>
          </cell>
          <cell r="C172" t="str">
            <v>Kg</v>
          </cell>
          <cell r="D172">
            <v>2.7006434782608695</v>
          </cell>
          <cell r="E172">
            <v>0</v>
          </cell>
          <cell r="H172">
            <v>2.7</v>
          </cell>
          <cell r="I172">
            <v>0</v>
          </cell>
          <cell r="J172">
            <v>0</v>
          </cell>
          <cell r="K172">
            <v>0</v>
          </cell>
          <cell r="L172">
            <v>2.7</v>
          </cell>
          <cell r="M172" t="str">
            <v>as</v>
          </cell>
        </row>
        <row r="173">
          <cell r="A173">
            <v>30</v>
          </cell>
          <cell r="B173" t="str">
            <v>Acero tipo I</v>
          </cell>
          <cell r="C173" t="str">
            <v>Tn</v>
          </cell>
          <cell r="D173">
            <v>3565</v>
          </cell>
          <cell r="E173">
            <v>0</v>
          </cell>
          <cell r="H173">
            <v>3565</v>
          </cell>
          <cell r="I173">
            <v>0</v>
          </cell>
          <cell r="J173">
            <v>0</v>
          </cell>
          <cell r="K173">
            <v>0</v>
          </cell>
          <cell r="L173">
            <v>3565</v>
          </cell>
          <cell r="M173" t="str">
            <v>a</v>
          </cell>
        </row>
        <row r="174">
          <cell r="A174">
            <v>32</v>
          </cell>
          <cell r="B174" t="str">
            <v>Acero tipo III</v>
          </cell>
          <cell r="C174" t="str">
            <v>Tn</v>
          </cell>
          <cell r="D174">
            <v>18500</v>
          </cell>
          <cell r="H174">
            <v>18500</v>
          </cell>
          <cell r="I174">
            <v>0</v>
          </cell>
          <cell r="J174">
            <v>0</v>
          </cell>
          <cell r="K174">
            <v>0</v>
          </cell>
          <cell r="L174">
            <v>18500</v>
          </cell>
          <cell r="M174" t="str">
            <v>a</v>
          </cell>
        </row>
        <row r="175">
          <cell r="A175">
            <v>33</v>
          </cell>
          <cell r="B175" t="str">
            <v>Acero en barras alta resist. Dbl. y Colocado</v>
          </cell>
          <cell r="C175" t="str">
            <v>m2</v>
          </cell>
          <cell r="D175">
            <v>1080.94</v>
          </cell>
          <cell r="E175">
            <v>0</v>
          </cell>
          <cell r="H175">
            <v>1080.94</v>
          </cell>
          <cell r="I175">
            <v>0</v>
          </cell>
          <cell r="J175">
            <v>0</v>
          </cell>
          <cell r="K175">
            <v>0</v>
          </cell>
          <cell r="L175">
            <v>1080.94</v>
          </cell>
          <cell r="M175" t="str">
            <v>a</v>
          </cell>
        </row>
        <row r="176">
          <cell r="A176">
            <v>33.1</v>
          </cell>
          <cell r="B176" t="str">
            <v>Servicio  de  postesado  incluye  material</v>
          </cell>
          <cell r="C176" t="str">
            <v>m3</v>
          </cell>
          <cell r="D176">
            <v>2080.8000000000002</v>
          </cell>
          <cell r="H176">
            <v>2080.8000000000002</v>
          </cell>
          <cell r="I176">
            <v>0</v>
          </cell>
          <cell r="J176">
            <v>0</v>
          </cell>
          <cell r="K176">
            <v>0</v>
          </cell>
          <cell r="L176">
            <v>2080.8000000000002</v>
          </cell>
          <cell r="M176" t="str">
            <v>a</v>
          </cell>
        </row>
        <row r="177">
          <cell r="A177">
            <v>34</v>
          </cell>
          <cell r="B177" t="str">
            <v>Malla acero Q188</v>
          </cell>
          <cell r="C177" t="str">
            <v>m2</v>
          </cell>
          <cell r="D177">
            <v>52</v>
          </cell>
          <cell r="E177">
            <v>0</v>
          </cell>
          <cell r="H177">
            <v>52</v>
          </cell>
          <cell r="I177">
            <v>0</v>
          </cell>
          <cell r="J177">
            <v>0</v>
          </cell>
          <cell r="K177">
            <v>0</v>
          </cell>
          <cell r="L177">
            <v>52</v>
          </cell>
          <cell r="M177" t="str">
            <v>a</v>
          </cell>
        </row>
        <row r="178">
          <cell r="A178">
            <v>36</v>
          </cell>
          <cell r="B178" t="str">
            <v>Piedra p/ gaviones</v>
          </cell>
          <cell r="C178" t="str">
            <v>m³</v>
          </cell>
          <cell r="D178">
            <v>10.94</v>
          </cell>
          <cell r="E178">
            <v>0</v>
          </cell>
          <cell r="F178">
            <v>0.12</v>
          </cell>
          <cell r="G178">
            <v>208</v>
          </cell>
          <cell r="H178">
            <v>10.94</v>
          </cell>
          <cell r="I178">
            <v>0</v>
          </cell>
          <cell r="J178">
            <v>0.12</v>
          </cell>
          <cell r="K178">
            <v>24.96</v>
          </cell>
          <cell r="L178">
            <v>35.9</v>
          </cell>
          <cell r="M178">
            <v>0</v>
          </cell>
        </row>
        <row r="179">
          <cell r="A179">
            <v>38</v>
          </cell>
          <cell r="B179" t="str">
            <v>Gavión</v>
          </cell>
          <cell r="C179" t="str">
            <v>m³</v>
          </cell>
          <cell r="D179">
            <v>320</v>
          </cell>
          <cell r="E179">
            <v>0</v>
          </cell>
          <cell r="H179">
            <v>320</v>
          </cell>
          <cell r="I179">
            <v>0</v>
          </cell>
          <cell r="J179">
            <v>0</v>
          </cell>
          <cell r="K179">
            <v>0</v>
          </cell>
          <cell r="L179">
            <v>320</v>
          </cell>
          <cell r="M179" t="str">
            <v>a</v>
          </cell>
        </row>
        <row r="180">
          <cell r="A180">
            <v>40</v>
          </cell>
          <cell r="B180" t="str">
            <v>Defensa metálica ( flex  beam)</v>
          </cell>
          <cell r="C180" t="str">
            <v>Nº</v>
          </cell>
          <cell r="D180">
            <v>842</v>
          </cell>
          <cell r="E180">
            <v>0</v>
          </cell>
          <cell r="H180">
            <v>842</v>
          </cell>
          <cell r="I180">
            <v>0</v>
          </cell>
          <cell r="J180">
            <v>0</v>
          </cell>
          <cell r="K180">
            <v>0</v>
          </cell>
          <cell r="L180">
            <v>842</v>
          </cell>
          <cell r="M180" t="str">
            <v>a</v>
          </cell>
        </row>
        <row r="181">
          <cell r="A181">
            <v>42</v>
          </cell>
          <cell r="B181" t="str">
            <v>Ala terminal común</v>
          </cell>
          <cell r="C181" t="str">
            <v>Nº</v>
          </cell>
          <cell r="D181">
            <v>336</v>
          </cell>
          <cell r="E181">
            <v>0</v>
          </cell>
          <cell r="H181">
            <v>336</v>
          </cell>
          <cell r="I181">
            <v>0</v>
          </cell>
          <cell r="J181">
            <v>0</v>
          </cell>
          <cell r="K181">
            <v>0</v>
          </cell>
          <cell r="L181">
            <v>336</v>
          </cell>
          <cell r="M181" t="str">
            <v>a</v>
          </cell>
        </row>
        <row r="182">
          <cell r="A182">
            <v>44</v>
          </cell>
          <cell r="B182" t="str">
            <v>Poste metálico pesado</v>
          </cell>
          <cell r="C182" t="str">
            <v>Nº</v>
          </cell>
          <cell r="D182">
            <v>589</v>
          </cell>
          <cell r="E182">
            <v>0</v>
          </cell>
          <cell r="H182">
            <v>589</v>
          </cell>
          <cell r="I182">
            <v>0</v>
          </cell>
          <cell r="J182">
            <v>0</v>
          </cell>
          <cell r="K182">
            <v>0</v>
          </cell>
          <cell r="L182">
            <v>589</v>
          </cell>
          <cell r="M182" t="str">
            <v>a</v>
          </cell>
        </row>
        <row r="183">
          <cell r="A183">
            <v>45</v>
          </cell>
          <cell r="B183" t="str">
            <v>Apoyos policloropreno  500x300x32mm</v>
          </cell>
          <cell r="C183" t="str">
            <v>un</v>
          </cell>
          <cell r="D183">
            <v>1958.4</v>
          </cell>
          <cell r="E183">
            <v>0</v>
          </cell>
          <cell r="H183">
            <v>1958.4</v>
          </cell>
          <cell r="I183">
            <v>0</v>
          </cell>
          <cell r="J183">
            <v>0</v>
          </cell>
          <cell r="K183">
            <v>0</v>
          </cell>
          <cell r="L183">
            <v>1958.4</v>
          </cell>
          <cell r="M183">
            <v>0</v>
          </cell>
        </row>
        <row r="184">
          <cell r="A184">
            <v>46</v>
          </cell>
          <cell r="B184" t="str">
            <v>Junta de policloropreno</v>
          </cell>
          <cell r="C184" t="str">
            <v>m</v>
          </cell>
          <cell r="D184">
            <v>86.1</v>
          </cell>
          <cell r="E184">
            <v>0</v>
          </cell>
          <cell r="H184">
            <v>86.1</v>
          </cell>
          <cell r="I184">
            <v>0</v>
          </cell>
          <cell r="J184">
            <v>0</v>
          </cell>
          <cell r="K184">
            <v>0</v>
          </cell>
          <cell r="L184">
            <v>86.1</v>
          </cell>
          <cell r="M184">
            <v>0</v>
          </cell>
        </row>
        <row r="185">
          <cell r="A185">
            <v>48</v>
          </cell>
          <cell r="B185" t="str">
            <v xml:space="preserve">cable   desnudo  50mm2 </v>
          </cell>
          <cell r="C185" t="str">
            <v>m</v>
          </cell>
          <cell r="D185">
            <v>124</v>
          </cell>
          <cell r="E185">
            <v>0</v>
          </cell>
          <cell r="H185">
            <v>124</v>
          </cell>
          <cell r="I185">
            <v>0</v>
          </cell>
          <cell r="J185">
            <v>0</v>
          </cell>
          <cell r="K185">
            <v>0</v>
          </cell>
          <cell r="L185">
            <v>124</v>
          </cell>
          <cell r="M185">
            <v>0</v>
          </cell>
        </row>
        <row r="186">
          <cell r="A186">
            <v>50</v>
          </cell>
          <cell r="B186" t="str">
            <v>Materiales varios</v>
          </cell>
          <cell r="C186" t="str">
            <v>Gl</v>
          </cell>
          <cell r="D186">
            <v>130</v>
          </cell>
          <cell r="E186">
            <v>0</v>
          </cell>
          <cell r="H186">
            <v>130</v>
          </cell>
          <cell r="I186">
            <v>0</v>
          </cell>
          <cell r="J186">
            <v>0</v>
          </cell>
          <cell r="K186">
            <v>0</v>
          </cell>
          <cell r="L186">
            <v>130</v>
          </cell>
          <cell r="M186">
            <v>0</v>
          </cell>
        </row>
        <row r="187">
          <cell r="A187">
            <v>52</v>
          </cell>
          <cell r="B187" t="str">
            <v>Refugio peatonal premoldeado</v>
          </cell>
          <cell r="C187" t="str">
            <v>Nº</v>
          </cell>
          <cell r="D187">
            <v>30000</v>
          </cell>
          <cell r="E187">
            <v>0</v>
          </cell>
          <cell r="H187">
            <v>30000</v>
          </cell>
          <cell r="I187">
            <v>0</v>
          </cell>
          <cell r="J187">
            <v>0</v>
          </cell>
          <cell r="K187">
            <v>0</v>
          </cell>
          <cell r="L187">
            <v>30000</v>
          </cell>
          <cell r="M187" t="str">
            <v>h</v>
          </cell>
        </row>
        <row r="188">
          <cell r="A188" t="str">
            <v>52.1</v>
          </cell>
          <cell r="B188" t="str">
            <v>Refugio peatonal premoldeado RF 250</v>
          </cell>
          <cell r="C188" t="str">
            <v>Nº</v>
          </cell>
          <cell r="D188">
            <v>10115.84</v>
          </cell>
          <cell r="E188">
            <v>0</v>
          </cell>
          <cell r="H188">
            <v>10115.84</v>
          </cell>
          <cell r="I188">
            <v>0</v>
          </cell>
          <cell r="J188">
            <v>0</v>
          </cell>
          <cell r="K188">
            <v>0</v>
          </cell>
          <cell r="L188">
            <v>10115.84</v>
          </cell>
          <cell r="M188" t="str">
            <v>h</v>
          </cell>
        </row>
        <row r="189">
          <cell r="A189">
            <v>52.2</v>
          </cell>
          <cell r="B189" t="str">
            <v>Premoldeado de H°A° p/rampa discapacitados</v>
          </cell>
          <cell r="C189" t="str">
            <v>Nº</v>
          </cell>
          <cell r="D189">
            <v>2121</v>
          </cell>
          <cell r="E189">
            <v>0</v>
          </cell>
          <cell r="H189">
            <v>2121</v>
          </cell>
          <cell r="I189">
            <v>0</v>
          </cell>
          <cell r="J189">
            <v>0</v>
          </cell>
          <cell r="K189">
            <v>0</v>
          </cell>
          <cell r="L189">
            <v>2121</v>
          </cell>
          <cell r="M189" t="str">
            <v>h</v>
          </cell>
        </row>
        <row r="190">
          <cell r="A190">
            <v>53</v>
          </cell>
          <cell r="B190" t="str">
            <v>Tortugones</v>
          </cell>
          <cell r="C190" t="str">
            <v>ud</v>
          </cell>
          <cell r="D190">
            <v>135</v>
          </cell>
          <cell r="E190">
            <v>0</v>
          </cell>
          <cell r="H190">
            <v>135</v>
          </cell>
          <cell r="I190">
            <v>0</v>
          </cell>
          <cell r="J190">
            <v>0</v>
          </cell>
          <cell r="K190">
            <v>0</v>
          </cell>
          <cell r="L190">
            <v>135</v>
          </cell>
          <cell r="M190">
            <v>0</v>
          </cell>
        </row>
        <row r="191">
          <cell r="A191">
            <v>54</v>
          </cell>
          <cell r="B191" t="str">
            <v>Placa p/ señalización vertical</v>
          </cell>
          <cell r="C191" t="str">
            <v>m²</v>
          </cell>
          <cell r="D191">
            <v>450</v>
          </cell>
          <cell r="E191">
            <v>0</v>
          </cell>
          <cell r="H191">
            <v>450</v>
          </cell>
          <cell r="I191">
            <v>0</v>
          </cell>
          <cell r="J191">
            <v>0</v>
          </cell>
          <cell r="K191">
            <v>0</v>
          </cell>
          <cell r="L191">
            <v>450</v>
          </cell>
          <cell r="M191">
            <v>0</v>
          </cell>
        </row>
        <row r="192">
          <cell r="A192">
            <v>55</v>
          </cell>
          <cell r="B192" t="str">
            <v>soldadura  cuproaluminio con  explosivo  de  60</v>
          </cell>
          <cell r="C192" t="str">
            <v>un.</v>
          </cell>
          <cell r="D192">
            <v>390</v>
          </cell>
          <cell r="E192">
            <v>0</v>
          </cell>
          <cell r="H192">
            <v>390</v>
          </cell>
          <cell r="I192">
            <v>0</v>
          </cell>
          <cell r="J192">
            <v>0</v>
          </cell>
          <cell r="K192">
            <v>0</v>
          </cell>
          <cell r="L192">
            <v>390</v>
          </cell>
          <cell r="M192">
            <v>0</v>
          </cell>
        </row>
        <row r="193">
          <cell r="A193">
            <v>56</v>
          </cell>
          <cell r="B193" t="str">
            <v>Poste de madera</v>
          </cell>
          <cell r="C193" t="str">
            <v>Nº</v>
          </cell>
          <cell r="D193">
            <v>300</v>
          </cell>
          <cell r="E193">
            <v>0</v>
          </cell>
          <cell r="H193">
            <v>300</v>
          </cell>
          <cell r="I193">
            <v>0</v>
          </cell>
          <cell r="J193">
            <v>0</v>
          </cell>
          <cell r="K193">
            <v>0</v>
          </cell>
          <cell r="L193">
            <v>300</v>
          </cell>
          <cell r="M193">
            <v>0</v>
          </cell>
        </row>
        <row r="194">
          <cell r="A194">
            <v>56.1</v>
          </cell>
          <cell r="B194" t="str">
            <v xml:space="preserve">Poste metálico  </v>
          </cell>
          <cell r="C194" t="str">
            <v>Nº</v>
          </cell>
          <cell r="D194">
            <v>350</v>
          </cell>
          <cell r="E194">
            <v>0</v>
          </cell>
          <cell r="H194">
            <v>350</v>
          </cell>
          <cell r="I194">
            <v>0</v>
          </cell>
          <cell r="J194">
            <v>0</v>
          </cell>
          <cell r="K194">
            <v>0</v>
          </cell>
          <cell r="L194">
            <v>350</v>
          </cell>
          <cell r="M194" t="str">
            <v>a</v>
          </cell>
        </row>
        <row r="195">
          <cell r="A195">
            <v>58</v>
          </cell>
          <cell r="B195" t="str">
            <v>Ménsula p/ señalización vertical</v>
          </cell>
          <cell r="C195" t="str">
            <v>Nº</v>
          </cell>
          <cell r="D195">
            <v>70</v>
          </cell>
          <cell r="E195">
            <v>0</v>
          </cell>
          <cell r="H195">
            <v>70</v>
          </cell>
          <cell r="I195">
            <v>0</v>
          </cell>
          <cell r="J195">
            <v>0</v>
          </cell>
          <cell r="K195">
            <v>0</v>
          </cell>
          <cell r="L195">
            <v>70</v>
          </cell>
          <cell r="M195" t="str">
            <v>a</v>
          </cell>
        </row>
        <row r="196">
          <cell r="A196">
            <v>60</v>
          </cell>
          <cell r="B196" t="str">
            <v>Material imprimador</v>
          </cell>
          <cell r="C196" t="str">
            <v>Lt</v>
          </cell>
          <cell r="D196">
            <v>716</v>
          </cell>
          <cell r="E196">
            <v>0</v>
          </cell>
          <cell r="H196">
            <v>716</v>
          </cell>
          <cell r="I196">
            <v>0</v>
          </cell>
          <cell r="J196">
            <v>0</v>
          </cell>
          <cell r="K196">
            <v>0</v>
          </cell>
          <cell r="L196">
            <v>716</v>
          </cell>
          <cell r="M196">
            <v>0</v>
          </cell>
        </row>
        <row r="197">
          <cell r="A197">
            <v>62</v>
          </cell>
          <cell r="B197" t="str">
            <v>Pintura termoplástica</v>
          </cell>
          <cell r="C197" t="str">
            <v>kg</v>
          </cell>
          <cell r="D197">
            <v>9.1</v>
          </cell>
          <cell r="E197">
            <v>0</v>
          </cell>
          <cell r="H197">
            <v>9.1</v>
          </cell>
          <cell r="I197">
            <v>0</v>
          </cell>
          <cell r="J197">
            <v>0</v>
          </cell>
          <cell r="K197">
            <v>0</v>
          </cell>
          <cell r="L197">
            <v>9.1</v>
          </cell>
          <cell r="M197">
            <v>0</v>
          </cell>
        </row>
        <row r="198">
          <cell r="A198">
            <v>64</v>
          </cell>
          <cell r="B198" t="str">
            <v>Pintura en frío</v>
          </cell>
          <cell r="C198" t="str">
            <v>Lt</v>
          </cell>
          <cell r="D198">
            <v>97.3</v>
          </cell>
          <cell r="E198">
            <v>0.01</v>
          </cell>
          <cell r="H198">
            <v>98.27</v>
          </cell>
          <cell r="I198">
            <v>0</v>
          </cell>
          <cell r="J198">
            <v>0</v>
          </cell>
          <cell r="K198">
            <v>0</v>
          </cell>
          <cell r="L198">
            <v>98.27</v>
          </cell>
          <cell r="M198">
            <v>0</v>
          </cell>
        </row>
        <row r="199">
          <cell r="A199">
            <v>66</v>
          </cell>
          <cell r="B199" t="str">
            <v>Esferillas de vidrio</v>
          </cell>
          <cell r="C199" t="str">
            <v>kg</v>
          </cell>
          <cell r="D199">
            <v>130</v>
          </cell>
          <cell r="E199">
            <v>0</v>
          </cell>
          <cell r="H199">
            <v>130</v>
          </cell>
          <cell r="I199">
            <v>0</v>
          </cell>
          <cell r="J199">
            <v>0</v>
          </cell>
          <cell r="K199">
            <v>0</v>
          </cell>
          <cell r="L199">
            <v>130</v>
          </cell>
          <cell r="M199">
            <v>0</v>
          </cell>
        </row>
        <row r="200">
          <cell r="A200">
            <v>67</v>
          </cell>
          <cell r="B200" t="str">
            <v>Geotextil</v>
          </cell>
          <cell r="C200" t="str">
            <v>m2</v>
          </cell>
          <cell r="D200">
            <v>15.61</v>
          </cell>
          <cell r="E200">
            <v>0.01</v>
          </cell>
          <cell r="H200">
            <v>15.77</v>
          </cell>
          <cell r="I200">
            <v>0</v>
          </cell>
          <cell r="J200">
            <v>0</v>
          </cell>
          <cell r="K200">
            <v>0</v>
          </cell>
          <cell r="L200">
            <v>15.77</v>
          </cell>
          <cell r="M200">
            <v>0</v>
          </cell>
        </row>
        <row r="201">
          <cell r="A201">
            <v>68</v>
          </cell>
          <cell r="B201" t="str">
            <v>Carteles de señalización vertical</v>
          </cell>
          <cell r="C201" t="str">
            <v>m2</v>
          </cell>
          <cell r="D201">
            <v>2123</v>
          </cell>
          <cell r="H201">
            <v>2123</v>
          </cell>
          <cell r="I201">
            <v>0</v>
          </cell>
          <cell r="J201">
            <v>0</v>
          </cell>
          <cell r="K201">
            <v>0</v>
          </cell>
          <cell r="L201">
            <v>2123</v>
          </cell>
          <cell r="M201">
            <v>0</v>
          </cell>
        </row>
        <row r="202">
          <cell r="A202">
            <v>69</v>
          </cell>
          <cell r="B202" t="str">
            <v>Portico de acceso + 2 carteles</v>
          </cell>
          <cell r="C202" t="str">
            <v>U</v>
          </cell>
          <cell r="D202">
            <v>220000</v>
          </cell>
          <cell r="H202">
            <v>220000</v>
          </cell>
          <cell r="I202">
            <v>0</v>
          </cell>
          <cell r="J202">
            <v>0</v>
          </cell>
          <cell r="K202">
            <v>0</v>
          </cell>
          <cell r="L202">
            <v>220000</v>
          </cell>
          <cell r="M202" t="str">
            <v>a</v>
          </cell>
        </row>
        <row r="203">
          <cell r="A203">
            <v>70</v>
          </cell>
          <cell r="B203" t="str">
            <v>Membrana impermeabilizante M de O y  Mat.</v>
          </cell>
          <cell r="C203" t="str">
            <v>m2</v>
          </cell>
          <cell r="D203">
            <v>1810</v>
          </cell>
          <cell r="H203">
            <v>1810</v>
          </cell>
          <cell r="I203">
            <v>0</v>
          </cell>
          <cell r="J203">
            <v>0</v>
          </cell>
          <cell r="K203">
            <v>0</v>
          </cell>
          <cell r="L203">
            <v>1810</v>
          </cell>
          <cell r="M203">
            <v>0</v>
          </cell>
        </row>
        <row r="204">
          <cell r="A204">
            <v>70.099999999999994</v>
          </cell>
          <cell r="B204" t="str">
            <v>Membrana impermeabilizante   Mat</v>
          </cell>
          <cell r="C204" t="str">
            <v>m2</v>
          </cell>
          <cell r="D204">
            <v>102</v>
          </cell>
          <cell r="H204">
            <v>102</v>
          </cell>
          <cell r="I204">
            <v>0</v>
          </cell>
          <cell r="J204">
            <v>0</v>
          </cell>
          <cell r="K204">
            <v>0</v>
          </cell>
          <cell r="L204">
            <v>102</v>
          </cell>
          <cell r="M204">
            <v>1</v>
          </cell>
        </row>
        <row r="205">
          <cell r="A205">
            <v>71</v>
          </cell>
          <cell r="B205" t="str">
            <v>Disco de corte</v>
          </cell>
          <cell r="C205" t="str">
            <v>un</v>
          </cell>
          <cell r="D205">
            <v>27</v>
          </cell>
          <cell r="H205">
            <v>27</v>
          </cell>
          <cell r="I205">
            <v>0</v>
          </cell>
          <cell r="J205">
            <v>0</v>
          </cell>
          <cell r="K205">
            <v>0</v>
          </cell>
          <cell r="L205">
            <v>27</v>
          </cell>
          <cell r="M205">
            <v>0</v>
          </cell>
        </row>
        <row r="206">
          <cell r="A206">
            <v>72</v>
          </cell>
          <cell r="B206" t="str">
            <v>Sellador de juntas</v>
          </cell>
          <cell r="C206" t="str">
            <v>Kg</v>
          </cell>
          <cell r="D206">
            <v>28</v>
          </cell>
          <cell r="E206">
            <v>0</v>
          </cell>
          <cell r="H206">
            <v>28</v>
          </cell>
          <cell r="I206">
            <v>0</v>
          </cell>
          <cell r="J206">
            <v>0</v>
          </cell>
          <cell r="K206">
            <v>0</v>
          </cell>
          <cell r="L206">
            <v>28</v>
          </cell>
          <cell r="M206">
            <v>0</v>
          </cell>
        </row>
        <row r="207">
          <cell r="A207">
            <v>73</v>
          </cell>
          <cell r="B207" t="str">
            <v>Aditivo p/H°</v>
          </cell>
          <cell r="C207" t="str">
            <v>Lt</v>
          </cell>
          <cell r="D207">
            <v>2.2999999999999998</v>
          </cell>
          <cell r="E207">
            <v>0</v>
          </cell>
          <cell r="H207">
            <v>2.2999999999999998</v>
          </cell>
          <cell r="I207">
            <v>0</v>
          </cell>
          <cell r="J207">
            <v>0</v>
          </cell>
          <cell r="K207">
            <v>0</v>
          </cell>
          <cell r="L207">
            <v>2.2999999999999998</v>
          </cell>
          <cell r="M207">
            <v>0</v>
          </cell>
        </row>
        <row r="208">
          <cell r="A208">
            <v>74</v>
          </cell>
          <cell r="B208" t="str">
            <v>Cemento Portland Blanco (Bs)</v>
          </cell>
          <cell r="C208" t="str">
            <v>bol.</v>
          </cell>
          <cell r="D208">
            <v>240</v>
          </cell>
          <cell r="E208">
            <v>0</v>
          </cell>
          <cell r="H208">
            <v>240</v>
          </cell>
          <cell r="I208">
            <v>0</v>
          </cell>
          <cell r="J208">
            <v>0</v>
          </cell>
          <cell r="K208">
            <v>0</v>
          </cell>
          <cell r="L208">
            <v>240</v>
          </cell>
          <cell r="M208">
            <v>0</v>
          </cell>
        </row>
        <row r="209">
          <cell r="A209">
            <v>75</v>
          </cell>
          <cell r="B209" t="str">
            <v>Madera p/ encofrados</v>
          </cell>
          <cell r="C209" t="str">
            <v>m2</v>
          </cell>
          <cell r="D209">
            <v>39</v>
          </cell>
          <cell r="H209">
            <v>39</v>
          </cell>
          <cell r="I209">
            <v>0</v>
          </cell>
          <cell r="J209">
            <v>0</v>
          </cell>
          <cell r="K209">
            <v>0</v>
          </cell>
          <cell r="L209">
            <v>39</v>
          </cell>
          <cell r="M209">
            <v>0</v>
          </cell>
        </row>
        <row r="210">
          <cell r="A210">
            <v>76</v>
          </cell>
          <cell r="B210" t="str">
            <v>Tirante 3 x 3  Saligna</v>
          </cell>
          <cell r="C210" t="str">
            <v>m</v>
          </cell>
          <cell r="D210">
            <v>25.4</v>
          </cell>
          <cell r="H210">
            <v>25.4</v>
          </cell>
          <cell r="I210">
            <v>0</v>
          </cell>
          <cell r="J210">
            <v>0</v>
          </cell>
          <cell r="K210">
            <v>0</v>
          </cell>
          <cell r="L210">
            <v>25.4</v>
          </cell>
          <cell r="M210">
            <v>0</v>
          </cell>
        </row>
        <row r="211">
          <cell r="A211">
            <v>77</v>
          </cell>
          <cell r="B211" t="str">
            <v>Clavos punta París</v>
          </cell>
          <cell r="C211" t="str">
            <v>Kg</v>
          </cell>
          <cell r="D211">
            <v>20</v>
          </cell>
          <cell r="H211">
            <v>20</v>
          </cell>
          <cell r="I211">
            <v>0</v>
          </cell>
          <cell r="J211">
            <v>0</v>
          </cell>
          <cell r="K211">
            <v>0</v>
          </cell>
          <cell r="L211">
            <v>20</v>
          </cell>
          <cell r="M211">
            <v>0</v>
          </cell>
        </row>
        <row r="212">
          <cell r="A212">
            <v>78</v>
          </cell>
          <cell r="B212" t="str">
            <v>Desmoldante p/encofrados</v>
          </cell>
          <cell r="C212" t="str">
            <v>lt</v>
          </cell>
          <cell r="D212">
            <v>23.400000000000002</v>
          </cell>
          <cell r="H212">
            <v>23.4</v>
          </cell>
          <cell r="I212">
            <v>0</v>
          </cell>
          <cell r="J212">
            <v>0</v>
          </cell>
          <cell r="K212">
            <v>0</v>
          </cell>
          <cell r="L212">
            <v>23.4</v>
          </cell>
          <cell r="M212">
            <v>0</v>
          </cell>
        </row>
        <row r="213">
          <cell r="A213">
            <v>79</v>
          </cell>
          <cell r="B213" t="str">
            <v>Puntal telescópico</v>
          </cell>
          <cell r="C213" t="str">
            <v>N°</v>
          </cell>
          <cell r="D213">
            <v>20</v>
          </cell>
          <cell r="H213">
            <v>20</v>
          </cell>
          <cell r="I213">
            <v>0</v>
          </cell>
          <cell r="J213">
            <v>0</v>
          </cell>
          <cell r="K213">
            <v>0</v>
          </cell>
          <cell r="L213">
            <v>20</v>
          </cell>
          <cell r="M213">
            <v>0</v>
          </cell>
        </row>
        <row r="214">
          <cell r="A214">
            <v>80</v>
          </cell>
          <cell r="B214" t="str">
            <v>Alambre recocido N°17</v>
          </cell>
          <cell r="C214" t="str">
            <v>Kg</v>
          </cell>
          <cell r="D214">
            <v>21</v>
          </cell>
          <cell r="E214">
            <v>0</v>
          </cell>
          <cell r="H214">
            <v>21</v>
          </cell>
          <cell r="I214">
            <v>0</v>
          </cell>
          <cell r="J214">
            <v>0</v>
          </cell>
          <cell r="K214">
            <v>0</v>
          </cell>
          <cell r="L214">
            <v>21</v>
          </cell>
          <cell r="M214" t="str">
            <v>a</v>
          </cell>
        </row>
        <row r="215">
          <cell r="A215">
            <v>81</v>
          </cell>
          <cell r="B215" t="str">
            <v>Pórtico p/señalización vertical</v>
          </cell>
          <cell r="C215" t="str">
            <v>N°</v>
          </cell>
          <cell r="D215">
            <v>55000</v>
          </cell>
          <cell r="H215">
            <v>55000</v>
          </cell>
          <cell r="I215">
            <v>0</v>
          </cell>
          <cell r="J215">
            <v>0</v>
          </cell>
          <cell r="K215">
            <v>0</v>
          </cell>
          <cell r="L215">
            <v>55000</v>
          </cell>
          <cell r="M215" t="str">
            <v>a</v>
          </cell>
        </row>
        <row r="216">
          <cell r="A216">
            <v>82</v>
          </cell>
          <cell r="B216" t="str">
            <v>Artefacto p/ alumbrado público SAP 400 w</v>
          </cell>
          <cell r="C216" t="str">
            <v>Nº</v>
          </cell>
          <cell r="D216">
            <v>6268</v>
          </cell>
          <cell r="H216">
            <v>6268</v>
          </cell>
          <cell r="I216">
            <v>0</v>
          </cell>
          <cell r="J216">
            <v>0</v>
          </cell>
          <cell r="K216">
            <v>0</v>
          </cell>
          <cell r="L216">
            <v>6268</v>
          </cell>
          <cell r="M216">
            <v>0</v>
          </cell>
        </row>
        <row r="217">
          <cell r="A217">
            <v>88</v>
          </cell>
          <cell r="B217" t="str">
            <v>Esmalte sintético</v>
          </cell>
          <cell r="C217" t="str">
            <v>Lt</v>
          </cell>
          <cell r="D217">
            <v>82.65</v>
          </cell>
          <cell r="E217">
            <v>0</v>
          </cell>
          <cell r="H217">
            <v>82.65</v>
          </cell>
          <cell r="I217">
            <v>0</v>
          </cell>
          <cell r="J217">
            <v>0</v>
          </cell>
          <cell r="K217">
            <v>0</v>
          </cell>
          <cell r="L217">
            <v>82.65</v>
          </cell>
          <cell r="M217">
            <v>0</v>
          </cell>
        </row>
        <row r="218">
          <cell r="A218">
            <v>89</v>
          </cell>
          <cell r="B218" t="str">
            <v>Artefacto p/ alumbrado público SAP 250 w</v>
          </cell>
          <cell r="C218" t="str">
            <v>Nº</v>
          </cell>
          <cell r="D218">
            <v>337</v>
          </cell>
          <cell r="H218">
            <v>337</v>
          </cell>
          <cell r="I218">
            <v>0</v>
          </cell>
          <cell r="J218">
            <v>0</v>
          </cell>
          <cell r="K218">
            <v>0</v>
          </cell>
          <cell r="L218">
            <v>337</v>
          </cell>
          <cell r="M218">
            <v>0</v>
          </cell>
        </row>
        <row r="219">
          <cell r="A219">
            <v>91</v>
          </cell>
          <cell r="B219" t="str">
            <v>Artefacto p/ alumbrado público VHg 250 w</v>
          </cell>
          <cell r="C219" t="str">
            <v>Nº</v>
          </cell>
          <cell r="D219">
            <v>329.7</v>
          </cell>
          <cell r="H219">
            <v>329.7</v>
          </cell>
          <cell r="I219">
            <v>0</v>
          </cell>
          <cell r="J219">
            <v>0</v>
          </cell>
          <cell r="K219">
            <v>0</v>
          </cell>
          <cell r="L219">
            <v>329.7</v>
          </cell>
          <cell r="M219">
            <v>0</v>
          </cell>
        </row>
        <row r="220">
          <cell r="A220">
            <v>92</v>
          </cell>
          <cell r="B220" t="str">
            <v>Alambre galvanizado AR Nº 16/14</v>
          </cell>
          <cell r="C220" t="str">
            <v>Ro</v>
          </cell>
          <cell r="D220">
            <v>962</v>
          </cell>
          <cell r="E220">
            <v>0</v>
          </cell>
          <cell r="H220">
            <v>962</v>
          </cell>
          <cell r="I220">
            <v>0</v>
          </cell>
          <cell r="J220">
            <v>0</v>
          </cell>
          <cell r="K220">
            <v>0</v>
          </cell>
          <cell r="L220">
            <v>962</v>
          </cell>
          <cell r="M220" t="str">
            <v>a</v>
          </cell>
        </row>
        <row r="221">
          <cell r="A221">
            <v>93</v>
          </cell>
          <cell r="B221" t="str">
            <v>Alambre de púas Nº 15/101</v>
          </cell>
          <cell r="C221" t="str">
            <v>Ro</v>
          </cell>
          <cell r="D221">
            <v>952</v>
          </cell>
          <cell r="E221">
            <v>0</v>
          </cell>
          <cell r="H221">
            <v>952</v>
          </cell>
          <cell r="I221">
            <v>0</v>
          </cell>
          <cell r="J221">
            <v>0</v>
          </cell>
          <cell r="K221">
            <v>0</v>
          </cell>
          <cell r="L221">
            <v>952</v>
          </cell>
          <cell r="M221" t="str">
            <v>a</v>
          </cell>
        </row>
        <row r="222">
          <cell r="A222">
            <v>94</v>
          </cell>
          <cell r="B222" t="str">
            <v>Alambre galvanizado liso Nº 11</v>
          </cell>
          <cell r="C222" t="str">
            <v>Kg</v>
          </cell>
          <cell r="D222">
            <v>30</v>
          </cell>
          <cell r="E222">
            <v>0</v>
          </cell>
          <cell r="H222">
            <v>30</v>
          </cell>
          <cell r="I222">
            <v>0</v>
          </cell>
          <cell r="J222">
            <v>0</v>
          </cell>
          <cell r="K222">
            <v>0</v>
          </cell>
          <cell r="L222">
            <v>30</v>
          </cell>
          <cell r="M222" t="str">
            <v>a</v>
          </cell>
        </row>
        <row r="223">
          <cell r="A223">
            <v>95</v>
          </cell>
          <cell r="B223" t="str">
            <v>Torniquete doble Nº 1,5</v>
          </cell>
          <cell r="C223" t="str">
            <v>Nº</v>
          </cell>
          <cell r="D223">
            <v>7</v>
          </cell>
          <cell r="E223">
            <v>0</v>
          </cell>
          <cell r="H223">
            <v>7</v>
          </cell>
          <cell r="I223">
            <v>0</v>
          </cell>
          <cell r="J223">
            <v>0</v>
          </cell>
          <cell r="K223">
            <v>0</v>
          </cell>
          <cell r="L223">
            <v>7</v>
          </cell>
          <cell r="M223">
            <v>0</v>
          </cell>
        </row>
        <row r="224">
          <cell r="A224">
            <v>96</v>
          </cell>
          <cell r="B224" t="str">
            <v>Poste de quebracho colorado</v>
          </cell>
          <cell r="C224" t="str">
            <v>Nº</v>
          </cell>
          <cell r="D224">
            <v>150</v>
          </cell>
          <cell r="E224">
            <v>0</v>
          </cell>
          <cell r="H224">
            <v>150</v>
          </cell>
          <cell r="I224">
            <v>0</v>
          </cell>
          <cell r="J224">
            <v>0</v>
          </cell>
          <cell r="K224">
            <v>0</v>
          </cell>
          <cell r="L224">
            <v>150</v>
          </cell>
          <cell r="M224">
            <v>0</v>
          </cell>
        </row>
        <row r="225">
          <cell r="A225">
            <v>97</v>
          </cell>
          <cell r="B225" t="str">
            <v>1/2 poste de quebracho colorado</v>
          </cell>
          <cell r="C225" t="str">
            <v>Nº</v>
          </cell>
          <cell r="D225">
            <v>75</v>
          </cell>
          <cell r="E225">
            <v>0</v>
          </cell>
          <cell r="H225">
            <v>75</v>
          </cell>
          <cell r="I225">
            <v>0</v>
          </cell>
          <cell r="J225">
            <v>0</v>
          </cell>
          <cell r="K225">
            <v>0</v>
          </cell>
          <cell r="L225">
            <v>75</v>
          </cell>
          <cell r="M225">
            <v>0</v>
          </cell>
        </row>
        <row r="226">
          <cell r="A226">
            <v>98</v>
          </cell>
          <cell r="B226" t="str">
            <v>Varillón</v>
          </cell>
          <cell r="C226" t="str">
            <v>Nº</v>
          </cell>
          <cell r="D226">
            <v>6.5</v>
          </cell>
          <cell r="E226">
            <v>0</v>
          </cell>
          <cell r="H226">
            <v>6.5</v>
          </cell>
          <cell r="I226">
            <v>0</v>
          </cell>
          <cell r="J226">
            <v>0</v>
          </cell>
          <cell r="K226">
            <v>0</v>
          </cell>
          <cell r="L226">
            <v>6.5</v>
          </cell>
          <cell r="M226">
            <v>0</v>
          </cell>
        </row>
        <row r="227">
          <cell r="A227">
            <v>99</v>
          </cell>
          <cell r="B227" t="str">
            <v>Vallado de obra</v>
          </cell>
          <cell r="C227" t="str">
            <v>m</v>
          </cell>
          <cell r="D227">
            <v>1059.6564444444443</v>
          </cell>
          <cell r="H227">
            <v>1059.6600000000001</v>
          </cell>
          <cell r="I227">
            <v>0</v>
          </cell>
          <cell r="J227">
            <v>0</v>
          </cell>
          <cell r="K227">
            <v>0</v>
          </cell>
          <cell r="L227">
            <v>1059.6600000000001</v>
          </cell>
          <cell r="M227">
            <v>0</v>
          </cell>
        </row>
        <row r="228">
          <cell r="A228">
            <v>100</v>
          </cell>
          <cell r="B228" t="str">
            <v>Tranquera tipo B</v>
          </cell>
          <cell r="C228" t="str">
            <v>Nº</v>
          </cell>
          <cell r="D228">
            <v>600</v>
          </cell>
          <cell r="H228">
            <v>600</v>
          </cell>
          <cell r="I228">
            <v>0</v>
          </cell>
          <cell r="J228">
            <v>0</v>
          </cell>
          <cell r="K228">
            <v>0</v>
          </cell>
          <cell r="L228">
            <v>600</v>
          </cell>
          <cell r="M228">
            <v>0</v>
          </cell>
        </row>
        <row r="229">
          <cell r="A229">
            <v>101</v>
          </cell>
          <cell r="B229" t="str">
            <v>Árboles de 2 años</v>
          </cell>
          <cell r="C229" t="str">
            <v>Nº</v>
          </cell>
          <cell r="D229">
            <v>4700</v>
          </cell>
          <cell r="H229">
            <v>4700</v>
          </cell>
          <cell r="I229">
            <v>0</v>
          </cell>
          <cell r="J229">
            <v>0</v>
          </cell>
          <cell r="K229">
            <v>0</v>
          </cell>
          <cell r="L229">
            <v>4700</v>
          </cell>
          <cell r="M229">
            <v>0</v>
          </cell>
        </row>
        <row r="230">
          <cell r="A230">
            <v>102</v>
          </cell>
          <cell r="B230" t="str">
            <v>Alquiler de Oficina / Vivienda</v>
          </cell>
          <cell r="C230" t="str">
            <v>mes</v>
          </cell>
          <cell r="D230">
            <v>75000</v>
          </cell>
          <cell r="H230">
            <v>75000</v>
          </cell>
          <cell r="I230">
            <v>0</v>
          </cell>
          <cell r="J230">
            <v>0</v>
          </cell>
          <cell r="K230">
            <v>0</v>
          </cell>
          <cell r="L230">
            <v>75000</v>
          </cell>
          <cell r="M230">
            <v>0</v>
          </cell>
        </row>
        <row r="231">
          <cell r="A231">
            <v>103</v>
          </cell>
          <cell r="B231" t="str">
            <v>Mantenimiento y servicios vivienda</v>
          </cell>
          <cell r="C231" t="str">
            <v>mes</v>
          </cell>
          <cell r="D231">
            <v>2500</v>
          </cell>
          <cell r="H231">
            <v>2500</v>
          </cell>
          <cell r="I231">
            <v>0</v>
          </cell>
          <cell r="J231">
            <v>0</v>
          </cell>
          <cell r="K231">
            <v>0</v>
          </cell>
          <cell r="L231">
            <v>2500</v>
          </cell>
          <cell r="M231">
            <v>0</v>
          </cell>
        </row>
        <row r="232">
          <cell r="A232">
            <v>104</v>
          </cell>
          <cell r="B232" t="str">
            <v xml:space="preserve">Hormigón elab tipo H-25 </v>
          </cell>
          <cell r="C232" t="str">
            <v>m3</v>
          </cell>
          <cell r="D232">
            <v>1656</v>
          </cell>
          <cell r="H232">
            <v>1656</v>
          </cell>
          <cell r="I232">
            <v>0</v>
          </cell>
          <cell r="J232">
            <v>0</v>
          </cell>
          <cell r="K232">
            <v>0</v>
          </cell>
          <cell r="L232">
            <v>1656</v>
          </cell>
          <cell r="M232" t="str">
            <v>h</v>
          </cell>
        </row>
        <row r="233">
          <cell r="A233">
            <v>105</v>
          </cell>
          <cell r="B233" t="str">
            <v>Subcontrato prueba  de  carga  puente  FFCC</v>
          </cell>
          <cell r="C233" t="str">
            <v>un</v>
          </cell>
          <cell r="D233">
            <v>29325</v>
          </cell>
          <cell r="H233">
            <v>29325</v>
          </cell>
          <cell r="I233">
            <v>0</v>
          </cell>
          <cell r="J233">
            <v>0</v>
          </cell>
          <cell r="K233">
            <v>0</v>
          </cell>
          <cell r="L233">
            <v>29325</v>
          </cell>
          <cell r="M233" t="str">
            <v>sub</v>
          </cell>
        </row>
        <row r="234">
          <cell r="A234">
            <v>105.1</v>
          </cell>
          <cell r="B234" t="str">
            <v>Subcontrato prueba  de  carga  puente    Vial</v>
          </cell>
          <cell r="C234" t="str">
            <v>un</v>
          </cell>
          <cell r="D234">
            <v>26800</v>
          </cell>
          <cell r="H234">
            <v>26800</v>
          </cell>
          <cell r="I234">
            <v>0</v>
          </cell>
          <cell r="J234">
            <v>0</v>
          </cell>
          <cell r="K234">
            <v>0</v>
          </cell>
          <cell r="L234">
            <v>26800</v>
          </cell>
          <cell r="M234" t="str">
            <v>sub</v>
          </cell>
        </row>
        <row r="235">
          <cell r="A235">
            <v>105.2</v>
          </cell>
          <cell r="B235" t="str">
            <v>Subcontrato ensayo  crosshole  en pilotes  de  puentes FFCC</v>
          </cell>
          <cell r="C235" t="str">
            <v>un</v>
          </cell>
          <cell r="D235">
            <v>4283</v>
          </cell>
          <cell r="H235">
            <v>4283</v>
          </cell>
          <cell r="I235">
            <v>0</v>
          </cell>
          <cell r="J235">
            <v>0</v>
          </cell>
          <cell r="K235">
            <v>0</v>
          </cell>
          <cell r="L235">
            <v>4283</v>
          </cell>
          <cell r="M235" t="str">
            <v>sub</v>
          </cell>
        </row>
        <row r="236">
          <cell r="A236">
            <v>106</v>
          </cell>
          <cell r="B236" t="str">
            <v>Ensayo integridad de pilotes</v>
          </cell>
          <cell r="C236" t="str">
            <v>un</v>
          </cell>
          <cell r="D236">
            <v>585</v>
          </cell>
          <cell r="H236">
            <v>585</v>
          </cell>
          <cell r="I236">
            <v>0</v>
          </cell>
          <cell r="J236">
            <v>0</v>
          </cell>
          <cell r="K236">
            <v>0</v>
          </cell>
          <cell r="L236">
            <v>585</v>
          </cell>
          <cell r="M236" t="str">
            <v>sub</v>
          </cell>
        </row>
        <row r="237">
          <cell r="A237" t="str">
            <v>106.1</v>
          </cell>
          <cell r="B237" t="str">
            <v>Subcontrato de perf. de pilotes</v>
          </cell>
          <cell r="C237" t="str">
            <v>m3</v>
          </cell>
          <cell r="D237">
            <v>1430</v>
          </cell>
          <cell r="H237">
            <v>1430</v>
          </cell>
          <cell r="I237">
            <v>0</v>
          </cell>
          <cell r="J237">
            <v>0</v>
          </cell>
          <cell r="K237">
            <v>0</v>
          </cell>
          <cell r="L237">
            <v>1430</v>
          </cell>
          <cell r="M237" t="str">
            <v>sub</v>
          </cell>
        </row>
        <row r="238">
          <cell r="A238">
            <v>107</v>
          </cell>
          <cell r="B238" t="str">
            <v>Medición de prueba de carga</v>
          </cell>
          <cell r="C238" t="str">
            <v>N°</v>
          </cell>
          <cell r="D238">
            <v>6140</v>
          </cell>
          <cell r="H238">
            <v>6140</v>
          </cell>
          <cell r="I238">
            <v>0</v>
          </cell>
          <cell r="J238">
            <v>0</v>
          </cell>
          <cell r="K238">
            <v>0</v>
          </cell>
          <cell r="L238">
            <v>6140</v>
          </cell>
          <cell r="M238">
            <v>0</v>
          </cell>
        </row>
        <row r="239">
          <cell r="A239">
            <v>108</v>
          </cell>
          <cell r="B239" t="str">
            <v>Hormigón elab tipo H-38</v>
          </cell>
          <cell r="C239" t="str">
            <v>m3</v>
          </cell>
          <cell r="D239">
            <v>1960</v>
          </cell>
          <cell r="F239">
            <v>0.18</v>
          </cell>
          <cell r="G239">
            <v>20</v>
          </cell>
          <cell r="H239">
            <v>1960</v>
          </cell>
          <cell r="I239">
            <v>0</v>
          </cell>
          <cell r="J239">
            <v>0.18</v>
          </cell>
          <cell r="K239">
            <v>3.6</v>
          </cell>
          <cell r="L239">
            <v>1963.6</v>
          </cell>
          <cell r="M239" t="str">
            <v>h</v>
          </cell>
        </row>
        <row r="240">
          <cell r="A240">
            <v>108.1</v>
          </cell>
          <cell r="B240" t="str">
            <v>Hormigón elab tipo H-47</v>
          </cell>
          <cell r="C240" t="str">
            <v>m3</v>
          </cell>
          <cell r="D240">
            <v>2017</v>
          </cell>
          <cell r="E240">
            <v>0</v>
          </cell>
          <cell r="F240">
            <v>0.18</v>
          </cell>
          <cell r="G240">
            <v>20</v>
          </cell>
          <cell r="H240">
            <v>2017</v>
          </cell>
          <cell r="I240">
            <v>0</v>
          </cell>
          <cell r="J240">
            <v>0.18</v>
          </cell>
          <cell r="K240">
            <v>3.6</v>
          </cell>
          <cell r="L240">
            <v>2020.6</v>
          </cell>
          <cell r="M240" t="str">
            <v>h</v>
          </cell>
        </row>
        <row r="241">
          <cell r="A241">
            <v>109</v>
          </cell>
          <cell r="B241" t="str">
            <v>Acero ADN 420 Ø 6 cortado y doblado</v>
          </cell>
          <cell r="C241" t="str">
            <v>Tn</v>
          </cell>
          <cell r="D241">
            <v>18450</v>
          </cell>
          <cell r="H241">
            <v>18450</v>
          </cell>
          <cell r="I241">
            <v>0</v>
          </cell>
          <cell r="J241">
            <v>0</v>
          </cell>
          <cell r="K241">
            <v>0</v>
          </cell>
          <cell r="L241">
            <v>18450</v>
          </cell>
          <cell r="M241" t="str">
            <v>a</v>
          </cell>
        </row>
        <row r="242">
          <cell r="A242">
            <v>110</v>
          </cell>
          <cell r="B242" t="str">
            <v>Acero ADN 420 Ø 8 / 10 cortado y doblado</v>
          </cell>
          <cell r="C242" t="str">
            <v>Tn</v>
          </cell>
          <cell r="D242">
            <v>17460</v>
          </cell>
          <cell r="H242">
            <v>17460</v>
          </cell>
          <cell r="I242">
            <v>0</v>
          </cell>
          <cell r="J242">
            <v>0</v>
          </cell>
          <cell r="K242">
            <v>0</v>
          </cell>
          <cell r="L242">
            <v>17460</v>
          </cell>
          <cell r="M242" t="str">
            <v>a</v>
          </cell>
        </row>
        <row r="243">
          <cell r="A243">
            <v>111</v>
          </cell>
          <cell r="B243" t="str">
            <v>Acero ADN 420 Ø 12 cortado y doblado</v>
          </cell>
          <cell r="C243" t="str">
            <v>Tn</v>
          </cell>
          <cell r="D243">
            <v>12070</v>
          </cell>
          <cell r="H243">
            <v>12070</v>
          </cell>
          <cell r="I243">
            <v>0</v>
          </cell>
          <cell r="J243">
            <v>0</v>
          </cell>
          <cell r="K243">
            <v>0</v>
          </cell>
          <cell r="L243">
            <v>12070</v>
          </cell>
          <cell r="M243" t="str">
            <v>a</v>
          </cell>
        </row>
        <row r="244">
          <cell r="A244">
            <v>111.1</v>
          </cell>
          <cell r="B244" t="str">
            <v>Acero ADN 420 Ø 25 cortado y doblado</v>
          </cell>
          <cell r="C244" t="str">
            <v>Tn</v>
          </cell>
          <cell r="D244">
            <v>15137</v>
          </cell>
          <cell r="H244">
            <v>15137</v>
          </cell>
          <cell r="I244">
            <v>0</v>
          </cell>
          <cell r="J244">
            <v>0</v>
          </cell>
          <cell r="K244">
            <v>0</v>
          </cell>
          <cell r="L244">
            <v>15137</v>
          </cell>
          <cell r="M244" t="str">
            <v>a</v>
          </cell>
        </row>
        <row r="245">
          <cell r="A245">
            <v>112</v>
          </cell>
          <cell r="B245" t="str">
            <v>Acero de postensado incl. Anclajes, cuñas, vainas</v>
          </cell>
          <cell r="C245" t="str">
            <v>Tn</v>
          </cell>
          <cell r="D245">
            <v>14500</v>
          </cell>
          <cell r="H245">
            <v>14500</v>
          </cell>
          <cell r="I245">
            <v>0</v>
          </cell>
          <cell r="J245">
            <v>0</v>
          </cell>
          <cell r="K245">
            <v>0</v>
          </cell>
          <cell r="L245">
            <v>14500</v>
          </cell>
          <cell r="M245" t="str">
            <v>a</v>
          </cell>
        </row>
        <row r="246">
          <cell r="A246">
            <v>113</v>
          </cell>
          <cell r="B246" t="str">
            <v>Aditivo p/ inyecciones expansivas (x 20 kg)</v>
          </cell>
          <cell r="C246" t="str">
            <v>N°</v>
          </cell>
          <cell r="D246">
            <v>625</v>
          </cell>
          <cell r="E246">
            <v>0</v>
          </cell>
          <cell r="H246">
            <v>625</v>
          </cell>
          <cell r="I246">
            <v>0</v>
          </cell>
          <cell r="J246">
            <v>0</v>
          </cell>
          <cell r="K246">
            <v>0</v>
          </cell>
          <cell r="L246">
            <v>625</v>
          </cell>
          <cell r="M246">
            <v>0</v>
          </cell>
        </row>
        <row r="247">
          <cell r="A247">
            <v>114</v>
          </cell>
          <cell r="B247" t="str">
            <v>Separador de armadura</v>
          </cell>
          <cell r="C247" t="str">
            <v>N°</v>
          </cell>
          <cell r="D247">
            <v>0.31</v>
          </cell>
          <cell r="E247">
            <v>0</v>
          </cell>
          <cell r="H247">
            <v>0.31</v>
          </cell>
          <cell r="I247">
            <v>0</v>
          </cell>
          <cell r="J247">
            <v>0</v>
          </cell>
          <cell r="K247">
            <v>0</v>
          </cell>
          <cell r="L247">
            <v>0.31</v>
          </cell>
          <cell r="M247">
            <v>0</v>
          </cell>
        </row>
        <row r="248">
          <cell r="A248">
            <v>115</v>
          </cell>
          <cell r="B248" t="str">
            <v>Molde metálico p/viga 25 mts</v>
          </cell>
          <cell r="C248" t="str">
            <v>N°</v>
          </cell>
          <cell r="D248">
            <v>220000</v>
          </cell>
          <cell r="H248">
            <v>220000</v>
          </cell>
          <cell r="I248">
            <v>0</v>
          </cell>
          <cell r="J248">
            <v>0</v>
          </cell>
          <cell r="K248">
            <v>0</v>
          </cell>
          <cell r="L248">
            <v>220000</v>
          </cell>
          <cell r="M248" t="str">
            <v>a</v>
          </cell>
        </row>
        <row r="249">
          <cell r="A249">
            <v>116</v>
          </cell>
          <cell r="B249" t="str">
            <v>Alquiler torre de apuntalamiento</v>
          </cell>
          <cell r="C249" t="str">
            <v>mes</v>
          </cell>
          <cell r="D249">
            <v>450</v>
          </cell>
          <cell r="H249">
            <v>450</v>
          </cell>
          <cell r="I249">
            <v>0</v>
          </cell>
          <cell r="J249">
            <v>0</v>
          </cell>
          <cell r="K249">
            <v>0</v>
          </cell>
          <cell r="L249">
            <v>450</v>
          </cell>
          <cell r="M249">
            <v>0</v>
          </cell>
        </row>
        <row r="250">
          <cell r="A250">
            <v>117</v>
          </cell>
          <cell r="B250" t="str">
            <v>Hormigón elaborado tipo H-21</v>
          </cell>
          <cell r="C250" t="str">
            <v>m3</v>
          </cell>
          <cell r="D250">
            <v>1596</v>
          </cell>
          <cell r="E250">
            <v>0</v>
          </cell>
          <cell r="H250">
            <v>1596</v>
          </cell>
          <cell r="I250">
            <v>0</v>
          </cell>
          <cell r="J250">
            <v>0</v>
          </cell>
          <cell r="K250">
            <v>0</v>
          </cell>
          <cell r="L250">
            <v>1596</v>
          </cell>
          <cell r="M250" t="str">
            <v>h</v>
          </cell>
        </row>
        <row r="251">
          <cell r="A251">
            <v>118</v>
          </cell>
          <cell r="B251" t="str">
            <v>Multilaminado fenólico placa 18mm</v>
          </cell>
          <cell r="C251" t="str">
            <v>N°</v>
          </cell>
          <cell r="D251">
            <v>100</v>
          </cell>
          <cell r="H251">
            <v>100</v>
          </cell>
          <cell r="I251">
            <v>0</v>
          </cell>
          <cell r="J251">
            <v>0</v>
          </cell>
          <cell r="K251">
            <v>0</v>
          </cell>
          <cell r="L251">
            <v>100</v>
          </cell>
          <cell r="M251">
            <v>0</v>
          </cell>
        </row>
        <row r="252">
          <cell r="A252">
            <v>119</v>
          </cell>
          <cell r="B252" t="str">
            <v>Desmoldante encofrados madera (tb 200kg.)</v>
          </cell>
          <cell r="C252" t="str">
            <v>un.</v>
          </cell>
          <cell r="D252">
            <v>8542</v>
          </cell>
          <cell r="E252">
            <v>0</v>
          </cell>
          <cell r="H252">
            <v>8542</v>
          </cell>
          <cell r="I252">
            <v>0</v>
          </cell>
          <cell r="J252">
            <v>0</v>
          </cell>
          <cell r="K252">
            <v>0</v>
          </cell>
          <cell r="L252">
            <v>8542</v>
          </cell>
          <cell r="M252">
            <v>0</v>
          </cell>
        </row>
        <row r="253">
          <cell r="A253">
            <v>120</v>
          </cell>
          <cell r="B253" t="str">
            <v>Desmoldante encofrados metálicos (tb 200kg.)</v>
          </cell>
          <cell r="C253" t="str">
            <v>un.</v>
          </cell>
          <cell r="D253">
            <v>6955</v>
          </cell>
          <cell r="E253">
            <v>0</v>
          </cell>
          <cell r="H253">
            <v>6955</v>
          </cell>
          <cell r="I253">
            <v>0</v>
          </cell>
          <cell r="J253">
            <v>0</v>
          </cell>
          <cell r="K253">
            <v>0</v>
          </cell>
          <cell r="L253">
            <v>6955</v>
          </cell>
          <cell r="M253">
            <v>0</v>
          </cell>
        </row>
        <row r="254">
          <cell r="A254">
            <v>121</v>
          </cell>
          <cell r="B254" t="str">
            <v>Molde metálico p/columna</v>
          </cell>
          <cell r="C254" t="str">
            <v>N°</v>
          </cell>
          <cell r="D254">
            <v>22670</v>
          </cell>
          <cell r="H254">
            <v>22670</v>
          </cell>
          <cell r="I254">
            <v>0</v>
          </cell>
          <cell r="J254">
            <v>0</v>
          </cell>
          <cell r="K254">
            <v>0</v>
          </cell>
          <cell r="L254">
            <v>22670</v>
          </cell>
          <cell r="M254" t="str">
            <v>a</v>
          </cell>
        </row>
        <row r="255">
          <cell r="A255">
            <v>121.1</v>
          </cell>
          <cell r="B255" t="str">
            <v>Molde p/ pavimento base doble recto</v>
          </cell>
          <cell r="C255" t="str">
            <v>N°</v>
          </cell>
          <cell r="D255">
            <v>1445</v>
          </cell>
          <cell r="H255">
            <v>1445</v>
          </cell>
          <cell r="I255">
            <v>0</v>
          </cell>
          <cell r="J255">
            <v>0</v>
          </cell>
          <cell r="K255">
            <v>0</v>
          </cell>
          <cell r="L255">
            <v>1445</v>
          </cell>
          <cell r="M255" t="str">
            <v>a</v>
          </cell>
        </row>
        <row r="256">
          <cell r="A256">
            <v>121.2</v>
          </cell>
          <cell r="B256" t="str">
            <v>Molde p/ pavimento cordón recto</v>
          </cell>
          <cell r="C256" t="str">
            <v>N°</v>
          </cell>
          <cell r="D256">
            <v>1721</v>
          </cell>
          <cell r="H256">
            <v>1721</v>
          </cell>
          <cell r="I256">
            <v>0</v>
          </cell>
          <cell r="J256">
            <v>0</v>
          </cell>
          <cell r="K256">
            <v>0</v>
          </cell>
          <cell r="L256">
            <v>1721</v>
          </cell>
          <cell r="M256" t="str">
            <v>a</v>
          </cell>
        </row>
        <row r="257">
          <cell r="A257">
            <v>122</v>
          </cell>
          <cell r="B257" t="str">
            <v>Cerco olímpico (cerr. de vias)</v>
          </cell>
          <cell r="C257" t="str">
            <v>ml</v>
          </cell>
          <cell r="D257">
            <v>5459</v>
          </cell>
          <cell r="H257">
            <v>5459</v>
          </cell>
          <cell r="I257">
            <v>0</v>
          </cell>
          <cell r="J257">
            <v>0</v>
          </cell>
          <cell r="K257">
            <v>0</v>
          </cell>
          <cell r="L257">
            <v>5459</v>
          </cell>
          <cell r="M257">
            <v>0</v>
          </cell>
        </row>
        <row r="258">
          <cell r="A258">
            <v>123</v>
          </cell>
          <cell r="B258" t="str">
            <v>Poliestireno expandido</v>
          </cell>
          <cell r="C258" t="str">
            <v>m2</v>
          </cell>
          <cell r="D258">
            <v>4.9000000000000004</v>
          </cell>
          <cell r="E258">
            <v>0</v>
          </cell>
          <cell r="H258">
            <v>4.9000000000000004</v>
          </cell>
          <cell r="I258">
            <v>0</v>
          </cell>
          <cell r="J258">
            <v>0</v>
          </cell>
          <cell r="K258">
            <v>0</v>
          </cell>
          <cell r="L258">
            <v>4.9000000000000004</v>
          </cell>
          <cell r="M258">
            <v>0</v>
          </cell>
        </row>
        <row r="259">
          <cell r="A259">
            <v>124</v>
          </cell>
          <cell r="B259" t="str">
            <v xml:space="preserve">Gasoil </v>
          </cell>
          <cell r="C259" t="str">
            <v>Lt</v>
          </cell>
          <cell r="D259">
            <v>15.6</v>
          </cell>
          <cell r="H259">
            <v>15.6</v>
          </cell>
          <cell r="I259">
            <v>0</v>
          </cell>
          <cell r="J259">
            <v>0</v>
          </cell>
          <cell r="K259">
            <v>0</v>
          </cell>
          <cell r="L259">
            <v>15.6</v>
          </cell>
          <cell r="M259" t="str">
            <v>com</v>
          </cell>
        </row>
        <row r="260">
          <cell r="A260">
            <v>125</v>
          </cell>
          <cell r="B260" t="str">
            <v>Acero ADN 420 Ø 16 cortado y doblado</v>
          </cell>
          <cell r="C260" t="str">
            <v>Tn</v>
          </cell>
          <cell r="D260">
            <v>16670</v>
          </cell>
          <cell r="E260">
            <v>0</v>
          </cell>
          <cell r="H260">
            <v>16670</v>
          </cell>
          <cell r="I260">
            <v>0</v>
          </cell>
          <cell r="J260">
            <v>0</v>
          </cell>
          <cell r="K260">
            <v>0</v>
          </cell>
          <cell r="L260">
            <v>16670</v>
          </cell>
          <cell r="M260" t="str">
            <v>a</v>
          </cell>
        </row>
        <row r="261">
          <cell r="A261">
            <v>126</v>
          </cell>
          <cell r="B261" t="str">
            <v>Acero ADN 420 Ø 25 cortado y doblado (soldable)</v>
          </cell>
          <cell r="C261" t="str">
            <v>Tn</v>
          </cell>
          <cell r="D261">
            <v>15142</v>
          </cell>
          <cell r="E261">
            <v>0</v>
          </cell>
          <cell r="H261">
            <v>15142</v>
          </cell>
          <cell r="I261">
            <v>0</v>
          </cell>
          <cell r="J261">
            <v>0</v>
          </cell>
          <cell r="K261">
            <v>0</v>
          </cell>
          <cell r="L261">
            <v>15142</v>
          </cell>
          <cell r="M261" t="str">
            <v>a</v>
          </cell>
        </row>
        <row r="262">
          <cell r="A262">
            <v>127</v>
          </cell>
          <cell r="B262" t="str">
            <v>Apoyo de neoprene 22 cm x 44 cm x 4,1 cm (h neta)</v>
          </cell>
          <cell r="C262" t="str">
            <v>un.</v>
          </cell>
          <cell r="D262">
            <v>2970</v>
          </cell>
          <cell r="H262">
            <v>2970</v>
          </cell>
          <cell r="I262">
            <v>0</v>
          </cell>
          <cell r="J262">
            <v>0</v>
          </cell>
          <cell r="K262">
            <v>0</v>
          </cell>
          <cell r="L262">
            <v>2970</v>
          </cell>
          <cell r="M262">
            <v>0</v>
          </cell>
        </row>
        <row r="263">
          <cell r="A263">
            <v>128</v>
          </cell>
          <cell r="B263" t="str">
            <v>Junta de polímero asfáltico</v>
          </cell>
          <cell r="C263" t="str">
            <v>m</v>
          </cell>
          <cell r="D263">
            <v>550</v>
          </cell>
          <cell r="H263">
            <v>550</v>
          </cell>
          <cell r="I263">
            <v>0</v>
          </cell>
          <cell r="J263">
            <v>0</v>
          </cell>
          <cell r="K263">
            <v>0</v>
          </cell>
          <cell r="L263">
            <v>550</v>
          </cell>
          <cell r="M263" t="str">
            <v>as</v>
          </cell>
        </row>
        <row r="264">
          <cell r="A264">
            <v>129</v>
          </cell>
          <cell r="B264" t="str">
            <v>Caño de PVC Ø 110 mm x 3,2 00 x 4ml</v>
          </cell>
          <cell r="C264" t="str">
            <v>m</v>
          </cell>
          <cell r="D264">
            <v>56</v>
          </cell>
          <cell r="E264">
            <v>0</v>
          </cell>
          <cell r="H264">
            <v>56</v>
          </cell>
          <cell r="I264">
            <v>0</v>
          </cell>
          <cell r="J264">
            <v>0</v>
          </cell>
          <cell r="K264">
            <v>0</v>
          </cell>
          <cell r="L264">
            <v>56</v>
          </cell>
          <cell r="M264">
            <v>0</v>
          </cell>
        </row>
        <row r="265">
          <cell r="A265">
            <v>129.1</v>
          </cell>
          <cell r="B265" t="str">
            <v>Caño de PVC Ø 160 mm x 3,2 00 x 4ml</v>
          </cell>
          <cell r="C265" t="str">
            <v>m</v>
          </cell>
          <cell r="D265">
            <v>100</v>
          </cell>
          <cell r="E265">
            <v>1</v>
          </cell>
          <cell r="H265">
            <v>200</v>
          </cell>
          <cell r="I265">
            <v>0</v>
          </cell>
          <cell r="J265">
            <v>0</v>
          </cell>
          <cell r="K265">
            <v>0</v>
          </cell>
          <cell r="L265">
            <v>200</v>
          </cell>
          <cell r="M265">
            <v>1</v>
          </cell>
        </row>
        <row r="266">
          <cell r="A266">
            <v>130</v>
          </cell>
          <cell r="B266" t="str">
            <v>Caño galv. de 2" p/cañero</v>
          </cell>
          <cell r="C266" t="str">
            <v>m</v>
          </cell>
          <cell r="D266">
            <v>1269</v>
          </cell>
          <cell r="H266">
            <v>1269</v>
          </cell>
          <cell r="I266">
            <v>0</v>
          </cell>
          <cell r="J266">
            <v>0</v>
          </cell>
          <cell r="K266">
            <v>0</v>
          </cell>
          <cell r="L266">
            <v>1269</v>
          </cell>
          <cell r="M266" t="str">
            <v>a</v>
          </cell>
        </row>
        <row r="267">
          <cell r="A267">
            <v>131</v>
          </cell>
          <cell r="B267" t="str">
            <v>Tabla 1" en bruto pino Saligna</v>
          </cell>
          <cell r="C267" t="str">
            <v>m2</v>
          </cell>
          <cell r="D267">
            <v>11.25</v>
          </cell>
          <cell r="E267">
            <v>0</v>
          </cell>
          <cell r="H267">
            <v>11.25</v>
          </cell>
          <cell r="I267">
            <v>0</v>
          </cell>
          <cell r="J267">
            <v>0</v>
          </cell>
          <cell r="K267">
            <v>0</v>
          </cell>
          <cell r="L267">
            <v>11.25</v>
          </cell>
          <cell r="M267">
            <v>0</v>
          </cell>
        </row>
        <row r="268">
          <cell r="A268">
            <v>132</v>
          </cell>
          <cell r="B268" t="str">
            <v>Baranda metálica peatonal</v>
          </cell>
          <cell r="C268" t="str">
            <v>ml</v>
          </cell>
          <cell r="D268">
            <v>975</v>
          </cell>
          <cell r="H268">
            <v>975</v>
          </cell>
          <cell r="I268">
            <v>0</v>
          </cell>
          <cell r="J268">
            <v>0</v>
          </cell>
          <cell r="K268">
            <v>0</v>
          </cell>
          <cell r="L268">
            <v>975</v>
          </cell>
          <cell r="M268" t="str">
            <v>a</v>
          </cell>
        </row>
        <row r="269">
          <cell r="A269" t="str">
            <v>132.1</v>
          </cell>
          <cell r="B269" t="str">
            <v>Pasamanos de Hierro</v>
          </cell>
          <cell r="C269" t="str">
            <v>ml</v>
          </cell>
          <cell r="D269">
            <v>325</v>
          </cell>
          <cell r="H269">
            <v>325</v>
          </cell>
          <cell r="I269">
            <v>0</v>
          </cell>
          <cell r="J269">
            <v>0</v>
          </cell>
          <cell r="K269">
            <v>0</v>
          </cell>
          <cell r="L269">
            <v>325</v>
          </cell>
          <cell r="M269" t="str">
            <v>a</v>
          </cell>
        </row>
        <row r="270">
          <cell r="A270">
            <v>133</v>
          </cell>
          <cell r="B270" t="str">
            <v>Pintura acrílica vial</v>
          </cell>
          <cell r="C270" t="str">
            <v>Lt</v>
          </cell>
          <cell r="D270">
            <v>117</v>
          </cell>
          <cell r="E270">
            <v>0</v>
          </cell>
          <cell r="H270">
            <v>117</v>
          </cell>
          <cell r="I270">
            <v>0</v>
          </cell>
          <cell r="J270">
            <v>0</v>
          </cell>
          <cell r="K270">
            <v>0</v>
          </cell>
          <cell r="L270">
            <v>117</v>
          </cell>
          <cell r="M270">
            <v>0</v>
          </cell>
        </row>
        <row r="271">
          <cell r="A271">
            <v>134</v>
          </cell>
          <cell r="B271" t="str">
            <v>Hormigón elaborado tipo H-30</v>
          </cell>
          <cell r="C271" t="str">
            <v>m3</v>
          </cell>
          <cell r="D271">
            <v>1700</v>
          </cell>
          <cell r="H271">
            <v>1700</v>
          </cell>
          <cell r="I271">
            <v>0</v>
          </cell>
          <cell r="J271">
            <v>0</v>
          </cell>
          <cell r="K271">
            <v>0</v>
          </cell>
          <cell r="L271">
            <v>1700</v>
          </cell>
          <cell r="M271" t="str">
            <v>h</v>
          </cell>
        </row>
        <row r="272">
          <cell r="A272">
            <v>135</v>
          </cell>
          <cell r="B272" t="str">
            <v>Molde metálico para escama</v>
          </cell>
          <cell r="C272" t="str">
            <v>m</v>
          </cell>
          <cell r="D272">
            <v>2250</v>
          </cell>
          <cell r="H272">
            <v>2250</v>
          </cell>
          <cell r="I272">
            <v>0</v>
          </cell>
          <cell r="J272">
            <v>0</v>
          </cell>
          <cell r="K272">
            <v>0</v>
          </cell>
          <cell r="L272">
            <v>2250</v>
          </cell>
          <cell r="M272" t="str">
            <v>a</v>
          </cell>
        </row>
        <row r="273">
          <cell r="A273">
            <v>136</v>
          </cell>
          <cell r="B273" t="str">
            <v>Suelo de yacimiento puesto en obra</v>
          </cell>
          <cell r="C273" t="str">
            <v>m3</v>
          </cell>
          <cell r="D273">
            <v>150</v>
          </cell>
          <cell r="F273">
            <v>0.15</v>
          </cell>
          <cell r="G273">
            <v>17</v>
          </cell>
          <cell r="H273">
            <v>150</v>
          </cell>
          <cell r="I273">
            <v>0</v>
          </cell>
          <cell r="J273">
            <v>0.15</v>
          </cell>
          <cell r="K273">
            <v>2.5499999999999998</v>
          </cell>
          <cell r="L273">
            <v>152.55000000000001</v>
          </cell>
          <cell r="M273">
            <v>0</v>
          </cell>
        </row>
        <row r="274">
          <cell r="A274">
            <v>136.1</v>
          </cell>
          <cell r="B274" t="str">
            <v>Suelo seleccionado</v>
          </cell>
          <cell r="C274" t="str">
            <v>m3</v>
          </cell>
          <cell r="D274">
            <v>49</v>
          </cell>
          <cell r="E274">
            <v>0</v>
          </cell>
          <cell r="F274">
            <v>0.15</v>
          </cell>
          <cell r="G274">
            <v>17</v>
          </cell>
          <cell r="H274">
            <v>49</v>
          </cell>
          <cell r="I274">
            <v>0</v>
          </cell>
          <cell r="J274">
            <v>0.15</v>
          </cell>
          <cell r="K274">
            <v>2.5499999999999998</v>
          </cell>
          <cell r="L274">
            <v>51.55</v>
          </cell>
          <cell r="M274">
            <v>0</v>
          </cell>
        </row>
        <row r="275">
          <cell r="A275">
            <v>137</v>
          </cell>
          <cell r="B275" t="str">
            <v>Columna H=9 ml c/3 brazos L=1,5 ml</v>
          </cell>
          <cell r="C275" t="str">
            <v>N°</v>
          </cell>
          <cell r="D275">
            <v>7580</v>
          </cell>
          <cell r="H275">
            <v>7580</v>
          </cell>
          <cell r="I275">
            <v>0</v>
          </cell>
          <cell r="J275">
            <v>0</v>
          </cell>
          <cell r="K275">
            <v>0</v>
          </cell>
          <cell r="L275">
            <v>7580</v>
          </cell>
          <cell r="M275" t="str">
            <v>a</v>
          </cell>
        </row>
        <row r="276">
          <cell r="A276">
            <v>138</v>
          </cell>
          <cell r="B276" t="str">
            <v>Columna H=9 ml c/2 brazos L=1,5 ml</v>
          </cell>
          <cell r="C276" t="str">
            <v>N°</v>
          </cell>
          <cell r="D276">
            <v>7090</v>
          </cell>
          <cell r="H276">
            <v>7090</v>
          </cell>
          <cell r="I276">
            <v>0</v>
          </cell>
          <cell r="J276">
            <v>0</v>
          </cell>
          <cell r="K276">
            <v>0</v>
          </cell>
          <cell r="L276">
            <v>7090</v>
          </cell>
          <cell r="M276" t="str">
            <v>a</v>
          </cell>
        </row>
        <row r="277">
          <cell r="A277">
            <v>139</v>
          </cell>
          <cell r="B277" t="str">
            <v>Columna H=9 ml c/1 brazo L=1,5 ml</v>
          </cell>
          <cell r="C277" t="str">
            <v>N°</v>
          </cell>
          <cell r="D277">
            <v>6600</v>
          </cell>
          <cell r="H277">
            <v>6600</v>
          </cell>
          <cell r="I277">
            <v>0</v>
          </cell>
          <cell r="J277">
            <v>0</v>
          </cell>
          <cell r="K277">
            <v>0</v>
          </cell>
          <cell r="L277">
            <v>6600</v>
          </cell>
          <cell r="M277" t="str">
            <v>a</v>
          </cell>
        </row>
        <row r="278">
          <cell r="A278">
            <v>140</v>
          </cell>
          <cell r="B278" t="str">
            <v>Materiales menores</v>
          </cell>
          <cell r="C278" t="str">
            <v>N°</v>
          </cell>
          <cell r="D278">
            <v>19.5</v>
          </cell>
          <cell r="H278">
            <v>19.5</v>
          </cell>
          <cell r="I278">
            <v>0</v>
          </cell>
          <cell r="J278">
            <v>0</v>
          </cell>
          <cell r="K278">
            <v>0</v>
          </cell>
          <cell r="L278">
            <v>19.5</v>
          </cell>
          <cell r="M278">
            <v>0</v>
          </cell>
        </row>
        <row r="279">
          <cell r="A279">
            <v>140.1</v>
          </cell>
          <cell r="B279" t="str">
            <v>Materiales para semáforos</v>
          </cell>
          <cell r="C279" t="str">
            <v>N°</v>
          </cell>
          <cell r="D279">
            <v>24375</v>
          </cell>
          <cell r="H279">
            <v>24375</v>
          </cell>
          <cell r="I279">
            <v>0</v>
          </cell>
          <cell r="J279">
            <v>0</v>
          </cell>
          <cell r="K279">
            <v>0</v>
          </cell>
          <cell r="L279">
            <v>24375</v>
          </cell>
          <cell r="M279">
            <v>0</v>
          </cell>
        </row>
        <row r="280">
          <cell r="A280">
            <v>141</v>
          </cell>
          <cell r="B280" t="str">
            <v>Transformador en aceite 13,2/0,4/0,23 kV de 40 kVA</v>
          </cell>
          <cell r="C280" t="str">
            <v>N°</v>
          </cell>
          <cell r="D280">
            <v>8450</v>
          </cell>
          <cell r="H280">
            <v>8450</v>
          </cell>
          <cell r="I280">
            <v>0</v>
          </cell>
          <cell r="J280">
            <v>0</v>
          </cell>
          <cell r="K280">
            <v>0</v>
          </cell>
          <cell r="L280">
            <v>8450</v>
          </cell>
          <cell r="M280">
            <v>0</v>
          </cell>
        </row>
        <row r="281">
          <cell r="A281">
            <v>142</v>
          </cell>
          <cell r="B281" t="str">
            <v>Cable de cobre tipo Sintenax 2 x 4 mm2</v>
          </cell>
          <cell r="C281" t="str">
            <v>m</v>
          </cell>
          <cell r="D281">
            <v>16.2</v>
          </cell>
          <cell r="H281">
            <v>16.2</v>
          </cell>
          <cell r="I281">
            <v>0</v>
          </cell>
          <cell r="J281">
            <v>0</v>
          </cell>
          <cell r="K281">
            <v>0</v>
          </cell>
          <cell r="L281">
            <v>16.2</v>
          </cell>
          <cell r="M281">
            <v>0</v>
          </cell>
        </row>
        <row r="282">
          <cell r="A282">
            <v>143</v>
          </cell>
          <cell r="B282" t="str">
            <v>Cable de cobre tipo Sintenax 3 x 4 mm2</v>
          </cell>
          <cell r="C282" t="str">
            <v>m</v>
          </cell>
          <cell r="D282">
            <v>22.31</v>
          </cell>
          <cell r="H282">
            <v>22.31</v>
          </cell>
          <cell r="I282">
            <v>0</v>
          </cell>
          <cell r="J282">
            <v>0</v>
          </cell>
          <cell r="K282">
            <v>0</v>
          </cell>
          <cell r="L282">
            <v>22.31</v>
          </cell>
          <cell r="M282">
            <v>0</v>
          </cell>
        </row>
        <row r="283">
          <cell r="A283">
            <v>144</v>
          </cell>
          <cell r="B283" t="str">
            <v>Cable de cobre tipo Sintenax 4 x 4 mm2</v>
          </cell>
          <cell r="C283" t="str">
            <v>m</v>
          </cell>
          <cell r="D283">
            <v>27.99</v>
          </cell>
          <cell r="H283">
            <v>27.99</v>
          </cell>
          <cell r="I283">
            <v>0</v>
          </cell>
          <cell r="J283">
            <v>0</v>
          </cell>
          <cell r="K283">
            <v>0</v>
          </cell>
          <cell r="L283">
            <v>27.99</v>
          </cell>
          <cell r="M283">
            <v>0</v>
          </cell>
        </row>
        <row r="284">
          <cell r="A284">
            <v>145</v>
          </cell>
          <cell r="B284" t="str">
            <v>Cable de cobre tipo Sintenax 4 x 6 mm2</v>
          </cell>
          <cell r="C284" t="str">
            <v>m</v>
          </cell>
          <cell r="D284">
            <v>39.479999999999997</v>
          </cell>
          <cell r="H284">
            <v>39.479999999999997</v>
          </cell>
          <cell r="I284">
            <v>0</v>
          </cell>
          <cell r="J284">
            <v>0</v>
          </cell>
          <cell r="K284">
            <v>0</v>
          </cell>
          <cell r="L284">
            <v>39.479999999999997</v>
          </cell>
          <cell r="M284">
            <v>0</v>
          </cell>
        </row>
        <row r="285">
          <cell r="A285">
            <v>146</v>
          </cell>
          <cell r="B285" t="str">
            <v>Cable de cobre tipo Sintenax 4 x 10 mm2</v>
          </cell>
          <cell r="C285" t="str">
            <v>m</v>
          </cell>
          <cell r="D285">
            <v>61.5</v>
          </cell>
          <cell r="H285">
            <v>61.5</v>
          </cell>
          <cell r="I285">
            <v>0</v>
          </cell>
          <cell r="J285">
            <v>0</v>
          </cell>
          <cell r="K285">
            <v>0</v>
          </cell>
          <cell r="L285">
            <v>61.5</v>
          </cell>
          <cell r="M285">
            <v>0</v>
          </cell>
        </row>
        <row r="286">
          <cell r="A286">
            <v>147</v>
          </cell>
          <cell r="B286" t="str">
            <v>Cable de cobre tipo Sintenax 4 x 16 mm2</v>
          </cell>
          <cell r="C286" t="str">
            <v>m</v>
          </cell>
          <cell r="D286">
            <v>97.71</v>
          </cell>
          <cell r="H286">
            <v>97.71</v>
          </cell>
          <cell r="I286">
            <v>0</v>
          </cell>
          <cell r="J286">
            <v>0</v>
          </cell>
          <cell r="K286">
            <v>0</v>
          </cell>
          <cell r="L286">
            <v>97.71</v>
          </cell>
          <cell r="M286">
            <v>0</v>
          </cell>
        </row>
        <row r="287">
          <cell r="A287">
            <v>148</v>
          </cell>
          <cell r="B287" t="str">
            <v>Cable de cobre tipo Sintenax 3 x 25/16 mm2</v>
          </cell>
          <cell r="C287" t="str">
            <v>m</v>
          </cell>
          <cell r="D287">
            <v>134.61000000000001</v>
          </cell>
          <cell r="H287">
            <v>134.61000000000001</v>
          </cell>
          <cell r="I287">
            <v>0</v>
          </cell>
          <cell r="J287">
            <v>0</v>
          </cell>
          <cell r="K287">
            <v>0</v>
          </cell>
          <cell r="L287">
            <v>134.61000000000001</v>
          </cell>
          <cell r="M287">
            <v>0</v>
          </cell>
        </row>
        <row r="288">
          <cell r="A288">
            <v>149</v>
          </cell>
          <cell r="B288" t="str">
            <v xml:space="preserve">Cable de cobre tipo Sintenax </v>
          </cell>
          <cell r="C288" t="str">
            <v>m</v>
          </cell>
          <cell r="D288">
            <v>4.24</v>
          </cell>
          <cell r="H288">
            <v>4.24</v>
          </cell>
          <cell r="I288">
            <v>0</v>
          </cell>
          <cell r="J288">
            <v>0</v>
          </cell>
          <cell r="K288">
            <v>0</v>
          </cell>
          <cell r="L288">
            <v>4.24</v>
          </cell>
          <cell r="M288">
            <v>0</v>
          </cell>
        </row>
        <row r="289">
          <cell r="A289">
            <v>150</v>
          </cell>
          <cell r="B289" t="str">
            <v>Cable de cobre tipo Superastic 1 x 16 mm2</v>
          </cell>
          <cell r="C289" t="str">
            <v>m</v>
          </cell>
          <cell r="D289">
            <v>24</v>
          </cell>
          <cell r="H289">
            <v>24</v>
          </cell>
          <cell r="I289">
            <v>0</v>
          </cell>
          <cell r="J289">
            <v>0</v>
          </cell>
          <cell r="K289">
            <v>0</v>
          </cell>
          <cell r="L289">
            <v>24</v>
          </cell>
          <cell r="M289">
            <v>0</v>
          </cell>
        </row>
        <row r="290">
          <cell r="A290">
            <v>151</v>
          </cell>
          <cell r="B290" t="str">
            <v>Cable tipo DVXCC 1 x 35 mm2 MT 13,2 kV</v>
          </cell>
          <cell r="C290" t="str">
            <v>m</v>
          </cell>
          <cell r="D290">
            <v>163</v>
          </cell>
          <cell r="H290">
            <v>163</v>
          </cell>
          <cell r="I290">
            <v>0</v>
          </cell>
          <cell r="J290">
            <v>0</v>
          </cell>
          <cell r="K290">
            <v>0</v>
          </cell>
          <cell r="L290">
            <v>163</v>
          </cell>
          <cell r="M290">
            <v>0</v>
          </cell>
        </row>
        <row r="291">
          <cell r="A291">
            <v>152</v>
          </cell>
          <cell r="B291" t="str">
            <v>Tablero de derivación p/columnas</v>
          </cell>
          <cell r="C291" t="str">
            <v>N°</v>
          </cell>
          <cell r="D291">
            <v>36</v>
          </cell>
          <cell r="H291">
            <v>36</v>
          </cell>
          <cell r="I291">
            <v>0</v>
          </cell>
          <cell r="J291">
            <v>0</v>
          </cell>
          <cell r="K291">
            <v>0</v>
          </cell>
          <cell r="L291">
            <v>36</v>
          </cell>
          <cell r="M291">
            <v>0</v>
          </cell>
        </row>
        <row r="292">
          <cell r="A292">
            <v>153</v>
          </cell>
          <cell r="B292" t="str">
            <v>Tablero de 4 circuitos completo</v>
          </cell>
          <cell r="C292" t="str">
            <v>N°</v>
          </cell>
          <cell r="D292">
            <v>17292</v>
          </cell>
          <cell r="H292">
            <v>17292</v>
          </cell>
          <cell r="I292">
            <v>0</v>
          </cell>
          <cell r="J292">
            <v>0</v>
          </cell>
          <cell r="K292">
            <v>0</v>
          </cell>
          <cell r="L292">
            <v>17292</v>
          </cell>
          <cell r="M292">
            <v>0</v>
          </cell>
        </row>
        <row r="293">
          <cell r="A293">
            <v>154</v>
          </cell>
          <cell r="B293" t="str">
            <v>Tablero de 3 circuitos completo</v>
          </cell>
          <cell r="C293" t="str">
            <v>N°</v>
          </cell>
          <cell r="D293">
            <v>28600</v>
          </cell>
          <cell r="H293">
            <v>28600</v>
          </cell>
          <cell r="I293">
            <v>0</v>
          </cell>
          <cell r="J293">
            <v>0</v>
          </cell>
          <cell r="K293">
            <v>0</v>
          </cell>
          <cell r="L293">
            <v>28600</v>
          </cell>
          <cell r="M293">
            <v>0</v>
          </cell>
        </row>
        <row r="294">
          <cell r="A294">
            <v>155</v>
          </cell>
          <cell r="B294" t="str">
            <v>Jabalina 3/4" x 1500 mm</v>
          </cell>
          <cell r="C294" t="str">
            <v>un.</v>
          </cell>
          <cell r="D294">
            <v>139</v>
          </cell>
          <cell r="H294">
            <v>139</v>
          </cell>
          <cell r="I294">
            <v>0</v>
          </cell>
          <cell r="J294">
            <v>0</v>
          </cell>
          <cell r="K294">
            <v>0</v>
          </cell>
          <cell r="L294">
            <v>139</v>
          </cell>
          <cell r="M294">
            <v>0</v>
          </cell>
        </row>
        <row r="295">
          <cell r="A295">
            <v>156</v>
          </cell>
          <cell r="B295" t="str">
            <v>Cable p/conexionado interno</v>
          </cell>
          <cell r="C295" t="str">
            <v>m</v>
          </cell>
          <cell r="D295">
            <v>4.5</v>
          </cell>
          <cell r="H295">
            <v>4.5</v>
          </cell>
          <cell r="I295">
            <v>0</v>
          </cell>
          <cell r="J295">
            <v>0</v>
          </cell>
          <cell r="K295">
            <v>0</v>
          </cell>
          <cell r="L295">
            <v>4.5</v>
          </cell>
          <cell r="M295">
            <v>0</v>
          </cell>
        </row>
        <row r="296">
          <cell r="A296">
            <v>157</v>
          </cell>
          <cell r="B296" t="str">
            <v>Seccionador tipo kearney 13,2 kV</v>
          </cell>
          <cell r="C296" t="str">
            <v>N°</v>
          </cell>
          <cell r="D296">
            <v>2914</v>
          </cell>
          <cell r="H296">
            <v>2914</v>
          </cell>
          <cell r="I296">
            <v>0</v>
          </cell>
          <cell r="J296">
            <v>0</v>
          </cell>
          <cell r="K296">
            <v>0</v>
          </cell>
          <cell r="L296">
            <v>2914</v>
          </cell>
          <cell r="M296">
            <v>0</v>
          </cell>
        </row>
        <row r="297">
          <cell r="A297">
            <v>158</v>
          </cell>
          <cell r="B297" t="str">
            <v>Artefacto completo 400 w RC 800</v>
          </cell>
          <cell r="C297" t="str">
            <v>m</v>
          </cell>
          <cell r="D297">
            <v>6268</v>
          </cell>
          <cell r="H297">
            <v>6268</v>
          </cell>
          <cell r="I297">
            <v>0</v>
          </cell>
          <cell r="J297">
            <v>0</v>
          </cell>
          <cell r="K297">
            <v>0</v>
          </cell>
          <cell r="L297">
            <v>6268</v>
          </cell>
          <cell r="M297">
            <v>0</v>
          </cell>
        </row>
        <row r="298">
          <cell r="A298">
            <v>159</v>
          </cell>
          <cell r="B298" t="str">
            <v>Artefacto completo 250 w RC 800</v>
          </cell>
          <cell r="C298" t="str">
            <v>m</v>
          </cell>
          <cell r="D298">
            <v>6083</v>
          </cell>
          <cell r="H298">
            <v>6083</v>
          </cell>
          <cell r="I298">
            <v>0</v>
          </cell>
          <cell r="J298">
            <v>0</v>
          </cell>
          <cell r="K298">
            <v>0</v>
          </cell>
          <cell r="L298">
            <v>6083</v>
          </cell>
          <cell r="M298">
            <v>0</v>
          </cell>
        </row>
        <row r="299">
          <cell r="A299">
            <v>160</v>
          </cell>
          <cell r="B299" t="str">
            <v>Artefacto completo 250 w MBA 70/5 NAV</v>
          </cell>
          <cell r="C299" t="str">
            <v>m</v>
          </cell>
          <cell r="D299">
            <v>3561</v>
          </cell>
          <cell r="H299">
            <v>3561</v>
          </cell>
          <cell r="I299">
            <v>0</v>
          </cell>
          <cell r="J299">
            <v>0</v>
          </cell>
          <cell r="K299">
            <v>0</v>
          </cell>
          <cell r="L299">
            <v>3561</v>
          </cell>
          <cell r="M299">
            <v>0</v>
          </cell>
        </row>
        <row r="300">
          <cell r="A300">
            <v>161</v>
          </cell>
          <cell r="B300" t="str">
            <v>Artefacto completo 250 w MBA 70/5 HQI</v>
          </cell>
          <cell r="C300" t="str">
            <v>m</v>
          </cell>
          <cell r="D300">
            <v>3407</v>
          </cell>
          <cell r="H300">
            <v>3407</v>
          </cell>
          <cell r="I300">
            <v>0</v>
          </cell>
          <cell r="J300">
            <v>0</v>
          </cell>
          <cell r="K300">
            <v>0</v>
          </cell>
          <cell r="L300">
            <v>3407</v>
          </cell>
          <cell r="M300">
            <v>0</v>
          </cell>
        </row>
        <row r="301">
          <cell r="A301">
            <v>162</v>
          </cell>
          <cell r="B301" t="str">
            <v>Materiales menores (bulonería)</v>
          </cell>
          <cell r="C301" t="str">
            <v>N°</v>
          </cell>
          <cell r="D301">
            <v>25</v>
          </cell>
          <cell r="H301">
            <v>25</v>
          </cell>
          <cell r="I301">
            <v>0</v>
          </cell>
          <cell r="J301">
            <v>0</v>
          </cell>
          <cell r="K301">
            <v>0</v>
          </cell>
          <cell r="L301">
            <v>25</v>
          </cell>
          <cell r="M301">
            <v>0</v>
          </cell>
        </row>
        <row r="302">
          <cell r="A302">
            <v>163</v>
          </cell>
          <cell r="B302" t="str">
            <v>Ladrillo común</v>
          </cell>
          <cell r="C302" t="str">
            <v>N°</v>
          </cell>
          <cell r="D302">
            <v>2.4</v>
          </cell>
          <cell r="H302">
            <v>2.4</v>
          </cell>
          <cell r="I302">
            <v>0</v>
          </cell>
          <cell r="J302">
            <v>0</v>
          </cell>
          <cell r="K302">
            <v>0</v>
          </cell>
          <cell r="L302">
            <v>2.4</v>
          </cell>
          <cell r="M302">
            <v>0</v>
          </cell>
        </row>
        <row r="303">
          <cell r="A303">
            <v>164</v>
          </cell>
          <cell r="B303" t="str">
            <v>Cinta de advertencia ( 200m)</v>
          </cell>
          <cell r="C303" t="str">
            <v>un</v>
          </cell>
          <cell r="D303">
            <v>29</v>
          </cell>
          <cell r="H303">
            <v>29</v>
          </cell>
          <cell r="I303">
            <v>0</v>
          </cell>
          <cell r="J303">
            <v>0</v>
          </cell>
          <cell r="K303">
            <v>0</v>
          </cell>
          <cell r="L303">
            <v>29</v>
          </cell>
          <cell r="M303">
            <v>0</v>
          </cell>
        </row>
        <row r="304">
          <cell r="A304">
            <v>165</v>
          </cell>
          <cell r="B304" t="str">
            <v>Hormigón elaborado tipo H-13</v>
          </cell>
          <cell r="C304" t="str">
            <v>m3</v>
          </cell>
          <cell r="D304">
            <v>1394</v>
          </cell>
          <cell r="E304">
            <v>0</v>
          </cell>
          <cell r="F304">
            <v>0.18</v>
          </cell>
          <cell r="G304">
            <v>20</v>
          </cell>
          <cell r="H304">
            <v>1394</v>
          </cell>
          <cell r="I304">
            <v>0</v>
          </cell>
          <cell r="J304">
            <v>0.18</v>
          </cell>
          <cell r="K304">
            <v>3.6</v>
          </cell>
          <cell r="L304">
            <v>1397.6</v>
          </cell>
          <cell r="M304" t="str">
            <v>h</v>
          </cell>
        </row>
        <row r="305">
          <cell r="A305">
            <v>166</v>
          </cell>
          <cell r="B305" t="str">
            <v>Caño de H° G° Ø 2"</v>
          </cell>
          <cell r="C305" t="str">
            <v>m</v>
          </cell>
          <cell r="D305">
            <v>1454</v>
          </cell>
          <cell r="H305">
            <v>1454</v>
          </cell>
          <cell r="I305">
            <v>0</v>
          </cell>
          <cell r="J305">
            <v>0</v>
          </cell>
          <cell r="K305">
            <v>0</v>
          </cell>
          <cell r="L305">
            <v>1454</v>
          </cell>
          <cell r="M305" t="str">
            <v>a</v>
          </cell>
        </row>
        <row r="306">
          <cell r="A306">
            <v>167</v>
          </cell>
          <cell r="B306" t="str">
            <v>Plataforma soporte transformador</v>
          </cell>
          <cell r="C306" t="str">
            <v>N°</v>
          </cell>
          <cell r="D306">
            <v>2800</v>
          </cell>
          <cell r="H306">
            <v>2800</v>
          </cell>
          <cell r="I306">
            <v>0</v>
          </cell>
          <cell r="J306">
            <v>0</v>
          </cell>
          <cell r="K306">
            <v>0</v>
          </cell>
          <cell r="L306">
            <v>2800</v>
          </cell>
          <cell r="M306">
            <v>0</v>
          </cell>
        </row>
        <row r="307">
          <cell r="A307">
            <v>168</v>
          </cell>
          <cell r="B307" t="str">
            <v xml:space="preserve">H° elaborado H-13 </v>
          </cell>
          <cell r="C307" t="str">
            <v>m3</v>
          </cell>
          <cell r="D307">
            <v>1394</v>
          </cell>
          <cell r="H307">
            <v>1394</v>
          </cell>
          <cell r="I307">
            <v>0</v>
          </cell>
          <cell r="J307">
            <v>0</v>
          </cell>
          <cell r="K307">
            <v>0</v>
          </cell>
          <cell r="L307">
            <v>1394</v>
          </cell>
          <cell r="M307" t="str">
            <v>h</v>
          </cell>
        </row>
        <row r="308">
          <cell r="A308">
            <v>169</v>
          </cell>
          <cell r="B308" t="str">
            <v xml:space="preserve">H° elaborado H-8 </v>
          </cell>
          <cell r="C308" t="str">
            <v>m3</v>
          </cell>
          <cell r="D308">
            <v>1449</v>
          </cell>
          <cell r="H308">
            <v>1449</v>
          </cell>
          <cell r="I308">
            <v>0</v>
          </cell>
          <cell r="J308">
            <v>0</v>
          </cell>
          <cell r="K308">
            <v>0</v>
          </cell>
          <cell r="L308">
            <v>1449</v>
          </cell>
          <cell r="M308" t="str">
            <v>h</v>
          </cell>
        </row>
        <row r="309">
          <cell r="A309">
            <v>170</v>
          </cell>
          <cell r="B309" t="str">
            <v>Acero ADN 420 Ø 25 cortado y doblado (soldable)</v>
          </cell>
          <cell r="C309" t="str">
            <v>Tn</v>
          </cell>
          <cell r="D309">
            <v>15142</v>
          </cell>
          <cell r="H309">
            <v>15142</v>
          </cell>
          <cell r="I309">
            <v>0</v>
          </cell>
          <cell r="J309">
            <v>0</v>
          </cell>
          <cell r="K309">
            <v>0</v>
          </cell>
          <cell r="L309">
            <v>15142</v>
          </cell>
          <cell r="M309" t="str">
            <v>a</v>
          </cell>
        </row>
        <row r="310">
          <cell r="A310">
            <v>171</v>
          </cell>
          <cell r="B310" t="str">
            <v>Alambre recocido</v>
          </cell>
          <cell r="C310" t="str">
            <v>Tn</v>
          </cell>
          <cell r="D310">
            <v>21020</v>
          </cell>
          <cell r="E310">
            <v>0</v>
          </cell>
          <cell r="H310">
            <v>21020</v>
          </cell>
          <cell r="I310">
            <v>0</v>
          </cell>
          <cell r="J310">
            <v>0</v>
          </cell>
          <cell r="K310">
            <v>0</v>
          </cell>
          <cell r="L310">
            <v>21020</v>
          </cell>
          <cell r="M310" t="str">
            <v>a</v>
          </cell>
        </row>
        <row r="311">
          <cell r="A311">
            <v>172</v>
          </cell>
          <cell r="B311" t="str">
            <v>Tope antisísmico de neopreno 150x300x20 mm</v>
          </cell>
          <cell r="C311" t="str">
            <v>N°</v>
          </cell>
          <cell r="D311">
            <v>2500</v>
          </cell>
          <cell r="H311">
            <v>2500</v>
          </cell>
          <cell r="I311">
            <v>0</v>
          </cell>
          <cell r="J311">
            <v>0</v>
          </cell>
          <cell r="K311">
            <v>0</v>
          </cell>
          <cell r="L311">
            <v>2500</v>
          </cell>
          <cell r="M311">
            <v>0</v>
          </cell>
        </row>
        <row r="312">
          <cell r="A312">
            <v>173</v>
          </cell>
          <cell r="B312" t="str">
            <v>Dientes y consumibles de equipo</v>
          </cell>
          <cell r="C312" t="str">
            <v>Hs</v>
          </cell>
          <cell r="D312">
            <v>2.5</v>
          </cell>
          <cell r="H312">
            <v>2.5</v>
          </cell>
          <cell r="I312">
            <v>0</v>
          </cell>
          <cell r="J312">
            <v>0</v>
          </cell>
          <cell r="K312">
            <v>0</v>
          </cell>
          <cell r="L312">
            <v>2.5</v>
          </cell>
          <cell r="M312">
            <v>0</v>
          </cell>
        </row>
        <row r="313">
          <cell r="A313">
            <v>174</v>
          </cell>
          <cell r="B313" t="str">
            <v>Chips de corteza (140 dm3)</v>
          </cell>
          <cell r="C313" t="str">
            <v>bol.</v>
          </cell>
          <cell r="D313">
            <v>232</v>
          </cell>
          <cell r="H313">
            <v>232</v>
          </cell>
          <cell r="I313">
            <v>0</v>
          </cell>
          <cell r="J313">
            <v>0</v>
          </cell>
          <cell r="K313">
            <v>0</v>
          </cell>
          <cell r="L313">
            <v>232</v>
          </cell>
          <cell r="M313">
            <v>0</v>
          </cell>
        </row>
        <row r="314">
          <cell r="A314">
            <v>175</v>
          </cell>
          <cell r="B314" t="str">
            <v>Mezcla de tierra preparada</v>
          </cell>
          <cell r="C314" t="str">
            <v>m3</v>
          </cell>
          <cell r="D314">
            <v>890</v>
          </cell>
          <cell r="H314">
            <v>890</v>
          </cell>
          <cell r="I314">
            <v>0</v>
          </cell>
          <cell r="J314">
            <v>0</v>
          </cell>
          <cell r="K314">
            <v>0</v>
          </cell>
          <cell r="L314">
            <v>890</v>
          </cell>
          <cell r="M314">
            <v>0</v>
          </cell>
        </row>
        <row r="315">
          <cell r="A315">
            <v>176</v>
          </cell>
          <cell r="B315" t="str">
            <v>Pometina p/maceteros</v>
          </cell>
          <cell r="C315" t="str">
            <v>m3</v>
          </cell>
          <cell r="D315">
            <v>2200</v>
          </cell>
          <cell r="H315">
            <v>2200</v>
          </cell>
          <cell r="I315">
            <v>0</v>
          </cell>
          <cell r="J315">
            <v>0</v>
          </cell>
          <cell r="K315">
            <v>0</v>
          </cell>
          <cell r="L315">
            <v>2200</v>
          </cell>
          <cell r="M315">
            <v>0</v>
          </cell>
        </row>
        <row r="316">
          <cell r="A316">
            <v>176.1</v>
          </cell>
          <cell r="B316" t="str">
            <v>Enredaderas</v>
          </cell>
          <cell r="C316" t="str">
            <v>N°</v>
          </cell>
          <cell r="D316">
            <v>70</v>
          </cell>
          <cell r="H316">
            <v>70</v>
          </cell>
          <cell r="I316">
            <v>0</v>
          </cell>
          <cell r="J316">
            <v>0</v>
          </cell>
          <cell r="K316">
            <v>0</v>
          </cell>
          <cell r="L316">
            <v>70</v>
          </cell>
          <cell r="M316">
            <v>0</v>
          </cell>
        </row>
        <row r="317">
          <cell r="A317">
            <v>177</v>
          </cell>
          <cell r="B317" t="str">
            <v>Fertilizante</v>
          </cell>
          <cell r="C317" t="str">
            <v>kg</v>
          </cell>
          <cell r="D317">
            <v>890</v>
          </cell>
          <cell r="H317">
            <v>890</v>
          </cell>
          <cell r="I317">
            <v>0</v>
          </cell>
          <cell r="J317">
            <v>0</v>
          </cell>
          <cell r="K317">
            <v>0</v>
          </cell>
          <cell r="L317">
            <v>890</v>
          </cell>
          <cell r="M317">
            <v>0</v>
          </cell>
        </row>
        <row r="318">
          <cell r="A318">
            <v>178</v>
          </cell>
          <cell r="B318" t="str">
            <v>Tutores</v>
          </cell>
          <cell r="C318" t="str">
            <v>N°</v>
          </cell>
          <cell r="D318">
            <v>35</v>
          </cell>
          <cell r="H318">
            <v>35</v>
          </cell>
          <cell r="I318">
            <v>0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</row>
        <row r="319">
          <cell r="A319">
            <v>179</v>
          </cell>
          <cell r="B319" t="str">
            <v>Cinta plástica</v>
          </cell>
          <cell r="C319" t="str">
            <v>N°</v>
          </cell>
          <cell r="D319">
            <v>0.52</v>
          </cell>
          <cell r="H319">
            <v>0.52</v>
          </cell>
          <cell r="I319">
            <v>0</v>
          </cell>
          <cell r="J319">
            <v>0</v>
          </cell>
          <cell r="K319">
            <v>0</v>
          </cell>
          <cell r="L319">
            <v>0.52</v>
          </cell>
          <cell r="M319">
            <v>0</v>
          </cell>
        </row>
        <row r="320">
          <cell r="A320">
            <v>180</v>
          </cell>
          <cell r="B320" t="str">
            <v>Sistema GPS p/CEGA-2</v>
          </cell>
          <cell r="C320" t="str">
            <v>N°</v>
          </cell>
          <cell r="D320">
            <v>42600</v>
          </cell>
          <cell r="H320">
            <v>42600</v>
          </cell>
          <cell r="I320">
            <v>0</v>
          </cell>
          <cell r="J320">
            <v>0</v>
          </cell>
          <cell r="K320">
            <v>0</v>
          </cell>
          <cell r="L320">
            <v>42600</v>
          </cell>
          <cell r="M320">
            <v>0</v>
          </cell>
        </row>
        <row r="321">
          <cell r="A321">
            <v>181</v>
          </cell>
          <cell r="B321" t="str">
            <v xml:space="preserve">Equipamiento informático </v>
          </cell>
          <cell r="C321" t="str">
            <v>N°</v>
          </cell>
          <cell r="D321">
            <v>130000</v>
          </cell>
          <cell r="H321">
            <v>130000</v>
          </cell>
          <cell r="I321">
            <v>0</v>
          </cell>
          <cell r="J321">
            <v>0</v>
          </cell>
          <cell r="K321">
            <v>0</v>
          </cell>
          <cell r="L321">
            <v>130000</v>
          </cell>
          <cell r="M321">
            <v>0</v>
          </cell>
        </row>
        <row r="322">
          <cell r="A322">
            <v>182</v>
          </cell>
          <cell r="B322" t="str">
            <v>Canon agua de riego</v>
          </cell>
          <cell r="C322" t="str">
            <v>m3</v>
          </cell>
          <cell r="D322">
            <v>3</v>
          </cell>
          <cell r="H322">
            <v>3</v>
          </cell>
          <cell r="I322">
            <v>0</v>
          </cell>
          <cell r="J322">
            <v>0</v>
          </cell>
          <cell r="K322">
            <v>0</v>
          </cell>
          <cell r="L322">
            <v>3</v>
          </cell>
          <cell r="M322">
            <v>0</v>
          </cell>
        </row>
        <row r="323">
          <cell r="A323">
            <v>183</v>
          </cell>
          <cell r="B323" t="str">
            <v>Imágenes IKONOS p/CEGA-2</v>
          </cell>
          <cell r="C323" t="str">
            <v>N°</v>
          </cell>
          <cell r="D323">
            <v>139500</v>
          </cell>
          <cell r="H323">
            <v>139500</v>
          </cell>
          <cell r="I323">
            <v>0</v>
          </cell>
          <cell r="J323">
            <v>0</v>
          </cell>
          <cell r="K323">
            <v>0</v>
          </cell>
          <cell r="L323">
            <v>139500</v>
          </cell>
          <cell r="M323">
            <v>0</v>
          </cell>
        </row>
        <row r="324">
          <cell r="A324">
            <v>184</v>
          </cell>
          <cell r="B324" t="str">
            <v>pintura   epoxi</v>
          </cell>
          <cell r="C324" t="str">
            <v>lt</v>
          </cell>
          <cell r="D324">
            <v>500</v>
          </cell>
          <cell r="H324">
            <v>500</v>
          </cell>
          <cell r="I324">
            <v>0</v>
          </cell>
          <cell r="J324">
            <v>0</v>
          </cell>
          <cell r="K324">
            <v>0</v>
          </cell>
          <cell r="L324">
            <v>500</v>
          </cell>
          <cell r="M324">
            <v>0</v>
          </cell>
        </row>
        <row r="325">
          <cell r="A325">
            <v>185</v>
          </cell>
          <cell r="B325" t="str">
            <v>Camioneta 4x2 CS</v>
          </cell>
          <cell r="C325" t="str">
            <v>N°</v>
          </cell>
          <cell r="D325">
            <v>450000</v>
          </cell>
          <cell r="H325">
            <v>450000</v>
          </cell>
          <cell r="I325">
            <v>0</v>
          </cell>
          <cell r="J325">
            <v>0</v>
          </cell>
          <cell r="K325">
            <v>0</v>
          </cell>
          <cell r="L325">
            <v>450000</v>
          </cell>
          <cell r="M325">
            <v>0</v>
          </cell>
        </row>
        <row r="326">
          <cell r="A326">
            <v>186</v>
          </cell>
          <cell r="B326" t="str">
            <v>Mantenimiento camioneta</v>
          </cell>
          <cell r="C326" t="str">
            <v>mes</v>
          </cell>
          <cell r="D326">
            <v>2300</v>
          </cell>
          <cell r="H326">
            <v>2300</v>
          </cell>
          <cell r="I326">
            <v>0</v>
          </cell>
          <cell r="J326">
            <v>0</v>
          </cell>
          <cell r="K326">
            <v>0</v>
          </cell>
          <cell r="L326">
            <v>2300</v>
          </cell>
          <cell r="M326">
            <v>0</v>
          </cell>
        </row>
        <row r="327">
          <cell r="A327">
            <v>187</v>
          </cell>
          <cell r="B327" t="str">
            <v>Mantenimiento informático</v>
          </cell>
          <cell r="C327" t="str">
            <v>mes</v>
          </cell>
          <cell r="D327">
            <v>1000</v>
          </cell>
          <cell r="H327">
            <v>1000</v>
          </cell>
          <cell r="I327">
            <v>0</v>
          </cell>
          <cell r="J327">
            <v>0</v>
          </cell>
          <cell r="K327">
            <v>0</v>
          </cell>
          <cell r="L327">
            <v>1000</v>
          </cell>
          <cell r="M327">
            <v>0</v>
          </cell>
        </row>
        <row r="328">
          <cell r="A328">
            <v>188</v>
          </cell>
          <cell r="B328" t="str">
            <v>Reja metálica IPN 8</v>
          </cell>
          <cell r="C328" t="str">
            <v>m2</v>
          </cell>
          <cell r="D328">
            <v>1680</v>
          </cell>
          <cell r="H328">
            <v>1680</v>
          </cell>
          <cell r="I328">
            <v>0</v>
          </cell>
          <cell r="J328">
            <v>0</v>
          </cell>
          <cell r="K328">
            <v>0</v>
          </cell>
          <cell r="L328">
            <v>1680</v>
          </cell>
          <cell r="M328" t="str">
            <v>a</v>
          </cell>
        </row>
        <row r="329">
          <cell r="A329">
            <v>189</v>
          </cell>
          <cell r="B329" t="str">
            <v>Caño ASTM-A53 Sch40 ø 4" x 6.00 m</v>
          </cell>
          <cell r="C329" t="str">
            <v>m</v>
          </cell>
          <cell r="D329">
            <v>4227</v>
          </cell>
          <cell r="H329">
            <v>4227</v>
          </cell>
          <cell r="I329">
            <v>0</v>
          </cell>
          <cell r="J329">
            <v>0</v>
          </cell>
          <cell r="K329">
            <v>0</v>
          </cell>
          <cell r="L329">
            <v>4227</v>
          </cell>
          <cell r="M329" t="str">
            <v>a</v>
          </cell>
        </row>
        <row r="330">
          <cell r="A330">
            <v>190</v>
          </cell>
          <cell r="B330" t="str">
            <v>Cemento Portland ARS (granel)</v>
          </cell>
          <cell r="C330" t="str">
            <v>Tn</v>
          </cell>
          <cell r="D330">
            <v>3200</v>
          </cell>
          <cell r="E330">
            <v>0</v>
          </cell>
          <cell r="H330">
            <v>3200</v>
          </cell>
          <cell r="I330">
            <v>0</v>
          </cell>
          <cell r="J330">
            <v>0</v>
          </cell>
          <cell r="K330">
            <v>0</v>
          </cell>
          <cell r="L330">
            <v>3200</v>
          </cell>
          <cell r="M330">
            <v>0</v>
          </cell>
        </row>
        <row r="331">
          <cell r="A331">
            <v>191</v>
          </cell>
          <cell r="B331" t="str">
            <v>Aditivo superfluidificante</v>
          </cell>
          <cell r="C331" t="str">
            <v>kg</v>
          </cell>
          <cell r="D331">
            <v>71.150000000000006</v>
          </cell>
          <cell r="E331">
            <v>0</v>
          </cell>
          <cell r="H331">
            <v>71.150000000000006</v>
          </cell>
          <cell r="I331">
            <v>0</v>
          </cell>
          <cell r="J331">
            <v>0</v>
          </cell>
          <cell r="K331">
            <v>0</v>
          </cell>
          <cell r="L331">
            <v>71.150000000000006</v>
          </cell>
          <cell r="M331">
            <v>0</v>
          </cell>
        </row>
        <row r="332">
          <cell r="A332">
            <v>192</v>
          </cell>
          <cell r="B332" t="str">
            <v>Punta p/ fresado</v>
          </cell>
          <cell r="C332" t="str">
            <v>kg</v>
          </cell>
          <cell r="D332">
            <v>2869</v>
          </cell>
          <cell r="H332">
            <v>2869</v>
          </cell>
          <cell r="I332">
            <v>0</v>
          </cell>
          <cell r="J332">
            <v>0</v>
          </cell>
          <cell r="K332">
            <v>0</v>
          </cell>
          <cell r="L332">
            <v>2869</v>
          </cell>
          <cell r="M332">
            <v>0</v>
          </cell>
        </row>
        <row r="333">
          <cell r="A333">
            <v>193</v>
          </cell>
          <cell r="B333" t="str">
            <v>Incidencia Molde Metálico Vigas FFCC</v>
          </cell>
          <cell r="C333" t="str">
            <v>Gl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 t="str">
            <v>a</v>
          </cell>
        </row>
        <row r="334">
          <cell r="A334">
            <v>194</v>
          </cell>
          <cell r="B334" t="str">
            <v>Pintura Epoxi para Hormigón</v>
          </cell>
          <cell r="C334" t="str">
            <v>Lts</v>
          </cell>
          <cell r="D334">
            <v>130</v>
          </cell>
          <cell r="H334">
            <v>130</v>
          </cell>
          <cell r="I334">
            <v>0</v>
          </cell>
          <cell r="J334">
            <v>0</v>
          </cell>
          <cell r="K334">
            <v>0</v>
          </cell>
          <cell r="L334">
            <v>130</v>
          </cell>
          <cell r="M334">
            <v>0</v>
          </cell>
        </row>
        <row r="335">
          <cell r="A335" t="str">
            <v>194.1</v>
          </cell>
          <cell r="B335" t="str">
            <v>Revestimiento talud losa H°S°</v>
          </cell>
          <cell r="C335" t="str">
            <v>m2</v>
          </cell>
          <cell r="D335">
            <v>978.99</v>
          </cell>
          <cell r="H335">
            <v>978.99</v>
          </cell>
          <cell r="I335">
            <v>0</v>
          </cell>
          <cell r="J335">
            <v>0</v>
          </cell>
          <cell r="K335">
            <v>0</v>
          </cell>
          <cell r="L335">
            <v>978.99</v>
          </cell>
          <cell r="M335" t="str">
            <v>h</v>
          </cell>
        </row>
        <row r="336">
          <cell r="A336">
            <v>195</v>
          </cell>
          <cell r="B336" t="str">
            <v>Tierra Vegetal en Obra</v>
          </cell>
          <cell r="C336" t="str">
            <v>m3</v>
          </cell>
          <cell r="D336">
            <v>890</v>
          </cell>
          <cell r="H336">
            <v>890</v>
          </cell>
          <cell r="I336">
            <v>0</v>
          </cell>
          <cell r="J336">
            <v>0</v>
          </cell>
          <cell r="K336">
            <v>0</v>
          </cell>
          <cell r="L336">
            <v>890</v>
          </cell>
          <cell r="M336">
            <v>0</v>
          </cell>
        </row>
        <row r="337">
          <cell r="A337">
            <v>195.1</v>
          </cell>
          <cell r="B337" t="str">
            <v>Derecho Cantera Tierra Vegetal</v>
          </cell>
          <cell r="C337" t="str">
            <v>m3</v>
          </cell>
          <cell r="D337">
            <v>4</v>
          </cell>
          <cell r="H337">
            <v>4</v>
          </cell>
          <cell r="I337">
            <v>0</v>
          </cell>
          <cell r="J337">
            <v>0</v>
          </cell>
          <cell r="K337">
            <v>0</v>
          </cell>
          <cell r="L337">
            <v>4</v>
          </cell>
          <cell r="M337">
            <v>0</v>
          </cell>
        </row>
        <row r="338">
          <cell r="A338">
            <v>196</v>
          </cell>
          <cell r="B338" t="str">
            <v>Semilla cesped</v>
          </cell>
          <cell r="C338" t="str">
            <v>kg</v>
          </cell>
          <cell r="D338">
            <v>45</v>
          </cell>
          <cell r="H338">
            <v>45</v>
          </cell>
          <cell r="I338">
            <v>0</v>
          </cell>
          <cell r="J338">
            <v>0</v>
          </cell>
          <cell r="K338">
            <v>0</v>
          </cell>
          <cell r="L338">
            <v>45</v>
          </cell>
          <cell r="M338">
            <v>0</v>
          </cell>
        </row>
        <row r="339">
          <cell r="A339">
            <v>197</v>
          </cell>
          <cell r="B339" t="str">
            <v>Caño H°A° Diam: 0,7 m  clase  III</v>
          </cell>
          <cell r="C339" t="str">
            <v>ml</v>
          </cell>
          <cell r="D339">
            <v>1950</v>
          </cell>
          <cell r="H339">
            <v>1950</v>
          </cell>
          <cell r="I339">
            <v>0</v>
          </cell>
          <cell r="J339">
            <v>0</v>
          </cell>
          <cell r="K339">
            <v>0</v>
          </cell>
          <cell r="L339">
            <v>1950</v>
          </cell>
          <cell r="M339" t="str">
            <v>h</v>
          </cell>
        </row>
        <row r="340">
          <cell r="A340">
            <v>198</v>
          </cell>
          <cell r="B340" t="str">
            <v>Caño H°A° Diam: 0,8 m  clase  III</v>
          </cell>
          <cell r="C340" t="str">
            <v>ml</v>
          </cell>
          <cell r="D340">
            <v>2409</v>
          </cell>
          <cell r="H340">
            <v>2409</v>
          </cell>
          <cell r="I340">
            <v>0</v>
          </cell>
          <cell r="J340">
            <v>0</v>
          </cell>
          <cell r="K340">
            <v>0</v>
          </cell>
          <cell r="L340">
            <v>2409</v>
          </cell>
          <cell r="M340" t="str">
            <v>h</v>
          </cell>
        </row>
        <row r="341">
          <cell r="A341">
            <v>198.1</v>
          </cell>
          <cell r="B341" t="str">
            <v>Caño H°A° Diam: 0,6 m  Clase  III</v>
          </cell>
          <cell r="C341" t="str">
            <v>ml</v>
          </cell>
          <cell r="D341">
            <v>1890</v>
          </cell>
          <cell r="H341">
            <v>1890</v>
          </cell>
          <cell r="I341">
            <v>0</v>
          </cell>
          <cell r="J341">
            <v>0</v>
          </cell>
          <cell r="K341">
            <v>0</v>
          </cell>
          <cell r="L341">
            <v>1890</v>
          </cell>
          <cell r="M341" t="str">
            <v>h</v>
          </cell>
        </row>
        <row r="342">
          <cell r="A342">
            <v>198.2</v>
          </cell>
          <cell r="B342" t="str">
            <v>Caño H°A° Diam: 0,5 m  Clase  IV</v>
          </cell>
          <cell r="C342" t="str">
            <v>ml</v>
          </cell>
          <cell r="D342">
            <v>1620</v>
          </cell>
          <cell r="H342">
            <v>1620</v>
          </cell>
          <cell r="I342">
            <v>0</v>
          </cell>
          <cell r="J342">
            <v>0</v>
          </cell>
          <cell r="K342">
            <v>0</v>
          </cell>
          <cell r="L342">
            <v>1620</v>
          </cell>
          <cell r="M342" t="str">
            <v>h</v>
          </cell>
        </row>
        <row r="343">
          <cell r="A343">
            <v>198.3</v>
          </cell>
          <cell r="B343" t="str">
            <v>Caño H°A° Diam: 0,4 m  Clase  IV</v>
          </cell>
          <cell r="C343" t="str">
            <v>ml</v>
          </cell>
          <cell r="D343">
            <v>1241</v>
          </cell>
          <cell r="H343">
            <v>1241</v>
          </cell>
          <cell r="I343">
            <v>0</v>
          </cell>
          <cell r="J343">
            <v>0</v>
          </cell>
          <cell r="K343">
            <v>0</v>
          </cell>
          <cell r="L343">
            <v>1241</v>
          </cell>
          <cell r="M343" t="str">
            <v>h</v>
          </cell>
        </row>
        <row r="344">
          <cell r="A344">
            <v>198.4</v>
          </cell>
          <cell r="B344" t="str">
            <v xml:space="preserve">Caño H°A° Diam: 0,3 m </v>
          </cell>
          <cell r="C344" t="str">
            <v>ml</v>
          </cell>
          <cell r="D344">
            <v>294</v>
          </cell>
          <cell r="H344">
            <v>294</v>
          </cell>
          <cell r="I344">
            <v>0</v>
          </cell>
          <cell r="J344">
            <v>0</v>
          </cell>
          <cell r="K344">
            <v>0</v>
          </cell>
          <cell r="L344">
            <v>294</v>
          </cell>
          <cell r="M344" t="str">
            <v>h</v>
          </cell>
        </row>
        <row r="345">
          <cell r="A345">
            <v>199</v>
          </cell>
          <cell r="B345" t="str">
            <v>Pavimento intertrabado</v>
          </cell>
          <cell r="C345" t="str">
            <v>m2</v>
          </cell>
          <cell r="D345">
            <v>333</v>
          </cell>
          <cell r="H345">
            <v>333</v>
          </cell>
          <cell r="I345">
            <v>0</v>
          </cell>
          <cell r="J345">
            <v>0</v>
          </cell>
          <cell r="K345">
            <v>0</v>
          </cell>
          <cell r="L345">
            <v>333</v>
          </cell>
          <cell r="M345" t="str">
            <v>h</v>
          </cell>
        </row>
        <row r="346">
          <cell r="A346">
            <v>200</v>
          </cell>
          <cell r="B346" t="str">
            <v>Alambre recocido N°9</v>
          </cell>
          <cell r="C346" t="str">
            <v>Tn</v>
          </cell>
          <cell r="D346">
            <v>20750</v>
          </cell>
          <cell r="H346">
            <v>20750</v>
          </cell>
          <cell r="I346">
            <v>0</v>
          </cell>
          <cell r="J346">
            <v>0</v>
          </cell>
          <cell r="K346">
            <v>0</v>
          </cell>
          <cell r="L346">
            <v>20750</v>
          </cell>
          <cell r="M346" t="str">
            <v>a</v>
          </cell>
        </row>
        <row r="347">
          <cell r="A347">
            <v>201</v>
          </cell>
          <cell r="B347" t="str">
            <v>Hormigón elaborado tipo H-21</v>
          </cell>
          <cell r="C347" t="str">
            <v>m3</v>
          </cell>
          <cell r="D347">
            <v>1596</v>
          </cell>
          <cell r="H347">
            <v>1596</v>
          </cell>
          <cell r="I347">
            <v>0</v>
          </cell>
          <cell r="J347">
            <v>0</v>
          </cell>
          <cell r="K347">
            <v>0</v>
          </cell>
          <cell r="L347">
            <v>1596</v>
          </cell>
          <cell r="M347" t="str">
            <v>h</v>
          </cell>
        </row>
        <row r="348">
          <cell r="A348">
            <v>202</v>
          </cell>
          <cell r="B348" t="str">
            <v>Materiales y mantenimiento de oficinas</v>
          </cell>
          <cell r="C348" t="str">
            <v>mes</v>
          </cell>
          <cell r="D348">
            <v>15500</v>
          </cell>
          <cell r="H348">
            <v>15500</v>
          </cell>
          <cell r="I348">
            <v>0</v>
          </cell>
          <cell r="J348">
            <v>0</v>
          </cell>
          <cell r="K348">
            <v>0</v>
          </cell>
          <cell r="L348">
            <v>15500</v>
          </cell>
          <cell r="M348">
            <v>0</v>
          </cell>
        </row>
        <row r="349">
          <cell r="A349">
            <v>203</v>
          </cell>
          <cell r="B349" t="str">
            <v>Materiales para juntas de dilatación</v>
          </cell>
          <cell r="C349" t="str">
            <v>gl</v>
          </cell>
          <cell r="D349">
            <v>375</v>
          </cell>
          <cell r="H349">
            <v>375</v>
          </cell>
          <cell r="I349">
            <v>0</v>
          </cell>
          <cell r="J349">
            <v>0</v>
          </cell>
          <cell r="K349">
            <v>0</v>
          </cell>
          <cell r="L349">
            <v>375</v>
          </cell>
          <cell r="M349">
            <v>0</v>
          </cell>
        </row>
        <row r="350">
          <cell r="A350">
            <v>211</v>
          </cell>
          <cell r="B350" t="str">
            <v>Alquiler Cochera</v>
          </cell>
          <cell r="C350" t="str">
            <v>mes</v>
          </cell>
          <cell r="D350">
            <v>2500</v>
          </cell>
          <cell r="H350">
            <v>2500</v>
          </cell>
          <cell r="I350">
            <v>0</v>
          </cell>
          <cell r="J350">
            <v>0</v>
          </cell>
          <cell r="K350">
            <v>0</v>
          </cell>
          <cell r="L350">
            <v>2500</v>
          </cell>
          <cell r="M350">
            <v>0</v>
          </cell>
        </row>
        <row r="351">
          <cell r="A351">
            <v>212</v>
          </cell>
          <cell r="B351" t="str">
            <v>Mantenimiento y servicio viviendas</v>
          </cell>
          <cell r="C351" t="str">
            <v>mes</v>
          </cell>
          <cell r="D351">
            <v>3250</v>
          </cell>
          <cell r="H351">
            <v>3250</v>
          </cell>
          <cell r="I351">
            <v>0</v>
          </cell>
          <cell r="J351">
            <v>0</v>
          </cell>
          <cell r="K351">
            <v>0</v>
          </cell>
          <cell r="M351" t="str">
            <v>sub</v>
          </cell>
        </row>
        <row r="352">
          <cell r="A352">
            <v>213</v>
          </cell>
          <cell r="B352" t="str">
            <v>Mobiliario y equipamiento viviendas</v>
          </cell>
          <cell r="C352" t="str">
            <v>Gl</v>
          </cell>
          <cell r="D352">
            <v>25000</v>
          </cell>
          <cell r="H352">
            <v>25000</v>
          </cell>
          <cell r="I352">
            <v>0</v>
          </cell>
          <cell r="J352">
            <v>0</v>
          </cell>
          <cell r="K352">
            <v>0</v>
          </cell>
          <cell r="L352">
            <v>25000</v>
          </cell>
          <cell r="M352">
            <v>0</v>
          </cell>
        </row>
        <row r="353">
          <cell r="A353">
            <v>214</v>
          </cell>
          <cell r="B353" t="str">
            <v>Impuestos y servicios viviendas</v>
          </cell>
          <cell r="C353" t="str">
            <v>mes</v>
          </cell>
          <cell r="D353">
            <v>500</v>
          </cell>
          <cell r="H353">
            <v>500</v>
          </cell>
          <cell r="I353">
            <v>0</v>
          </cell>
          <cell r="J353">
            <v>0</v>
          </cell>
          <cell r="K353">
            <v>0</v>
          </cell>
          <cell r="L353">
            <v>500</v>
          </cell>
          <cell r="M353">
            <v>0</v>
          </cell>
        </row>
        <row r="354">
          <cell r="A354">
            <v>215</v>
          </cell>
          <cell r="B354" t="str">
            <v>Servicio de vigilancia</v>
          </cell>
          <cell r="C354" t="str">
            <v>hr</v>
          </cell>
          <cell r="D354">
            <v>97.84</v>
          </cell>
          <cell r="H354">
            <v>97.84</v>
          </cell>
          <cell r="I354">
            <v>0</v>
          </cell>
          <cell r="J354">
            <v>0</v>
          </cell>
          <cell r="K354">
            <v>0</v>
          </cell>
          <cell r="L354">
            <v>97.84</v>
          </cell>
          <cell r="M354" t="str">
            <v>sub</v>
          </cell>
        </row>
        <row r="355">
          <cell r="A355">
            <v>216</v>
          </cell>
          <cell r="B355" t="str">
            <v>Camioneta 4x2 DC</v>
          </cell>
          <cell r="C355" t="str">
            <v>un</v>
          </cell>
          <cell r="D355">
            <v>450000</v>
          </cell>
          <cell r="H355">
            <v>450000</v>
          </cell>
          <cell r="I355">
            <v>0</v>
          </cell>
          <cell r="J355">
            <v>0</v>
          </cell>
          <cell r="K355">
            <v>0</v>
          </cell>
          <cell r="L355">
            <v>450000</v>
          </cell>
          <cell r="M355">
            <v>0</v>
          </cell>
        </row>
        <row r="356">
          <cell r="A356">
            <v>217</v>
          </cell>
          <cell r="B356" t="str">
            <v>Automóvil sedán 4 puertas con baúl</v>
          </cell>
          <cell r="C356" t="str">
            <v>un.</v>
          </cell>
          <cell r="D356">
            <v>250000</v>
          </cell>
          <cell r="H356">
            <v>250000</v>
          </cell>
          <cell r="I356">
            <v>0</v>
          </cell>
          <cell r="J356">
            <v>0</v>
          </cell>
          <cell r="K356">
            <v>0</v>
          </cell>
          <cell r="L356">
            <v>250000</v>
          </cell>
          <cell r="M356">
            <v>0</v>
          </cell>
        </row>
        <row r="357">
          <cell r="A357">
            <v>218</v>
          </cell>
          <cell r="B357" t="str">
            <v>Movilidad para Inspección: costo por km</v>
          </cell>
          <cell r="C357" t="str">
            <v>km</v>
          </cell>
          <cell r="D357">
            <v>0.7</v>
          </cell>
          <cell r="H357">
            <v>0.7</v>
          </cell>
          <cell r="I357">
            <v>0</v>
          </cell>
          <cell r="J357">
            <v>0</v>
          </cell>
          <cell r="K357">
            <v>0</v>
          </cell>
          <cell r="L357">
            <v>0.7</v>
          </cell>
          <cell r="M357">
            <v>0</v>
          </cell>
        </row>
        <row r="358">
          <cell r="A358">
            <v>219</v>
          </cell>
          <cell r="B358" t="str">
            <v>Alquiler Vivienda / Oficina</v>
          </cell>
          <cell r="C358" t="str">
            <v>mes</v>
          </cell>
          <cell r="D358">
            <v>5500</v>
          </cell>
          <cell r="H358">
            <v>5500</v>
          </cell>
          <cell r="I358">
            <v>0</v>
          </cell>
          <cell r="J358">
            <v>0</v>
          </cell>
          <cell r="K358">
            <v>0</v>
          </cell>
          <cell r="L358">
            <v>5500</v>
          </cell>
          <cell r="M358">
            <v>0</v>
          </cell>
        </row>
        <row r="359">
          <cell r="A359">
            <v>220</v>
          </cell>
          <cell r="B359" t="str">
            <v>Equipamiento de oficinas</v>
          </cell>
          <cell r="C359" t="str">
            <v>Gl</v>
          </cell>
          <cell r="D359">
            <v>330200</v>
          </cell>
          <cell r="H359">
            <v>330200</v>
          </cell>
          <cell r="I359">
            <v>0</v>
          </cell>
          <cell r="J359">
            <v>0</v>
          </cell>
          <cell r="K359">
            <v>0</v>
          </cell>
          <cell r="L359">
            <v>330200</v>
          </cell>
          <cell r="M359">
            <v>0</v>
          </cell>
        </row>
        <row r="360">
          <cell r="A360">
            <v>221</v>
          </cell>
          <cell r="B360" t="str">
            <v>Mobiliario de oficinas</v>
          </cell>
          <cell r="C360" t="str">
            <v>Gl</v>
          </cell>
          <cell r="D360">
            <v>26000</v>
          </cell>
          <cell r="H360">
            <v>26000</v>
          </cell>
          <cell r="I360">
            <v>0</v>
          </cell>
          <cell r="J360">
            <v>0</v>
          </cell>
          <cell r="K360">
            <v>0</v>
          </cell>
          <cell r="L360">
            <v>26000</v>
          </cell>
          <cell r="M360">
            <v>0</v>
          </cell>
        </row>
        <row r="361">
          <cell r="A361">
            <v>222</v>
          </cell>
          <cell r="B361" t="str">
            <v>Mantenimiento y servicios</v>
          </cell>
          <cell r="C361" t="str">
            <v>mes</v>
          </cell>
          <cell r="D361">
            <v>1560</v>
          </cell>
          <cell r="H361">
            <v>1560</v>
          </cell>
          <cell r="I361">
            <v>0</v>
          </cell>
          <cell r="J361">
            <v>0</v>
          </cell>
          <cell r="K361">
            <v>0</v>
          </cell>
          <cell r="L361">
            <v>1560</v>
          </cell>
          <cell r="M361">
            <v>0</v>
          </cell>
        </row>
        <row r="362">
          <cell r="A362">
            <v>222.1</v>
          </cell>
          <cell r="B362" t="str">
            <v>Servicio montaje c/dos gruas</v>
          </cell>
          <cell r="C362" t="str">
            <v>Gl</v>
          </cell>
          <cell r="D362">
            <v>325000</v>
          </cell>
          <cell r="H362">
            <v>325000</v>
          </cell>
          <cell r="I362">
            <v>0</v>
          </cell>
          <cell r="J362">
            <v>0</v>
          </cell>
          <cell r="K362">
            <v>0</v>
          </cell>
          <cell r="L362">
            <v>325000</v>
          </cell>
          <cell r="M362" t="str">
            <v>sub</v>
          </cell>
        </row>
        <row r="363">
          <cell r="A363">
            <v>223</v>
          </cell>
          <cell r="B363" t="str">
            <v>Comunicaciones oficinas</v>
          </cell>
          <cell r="C363" t="str">
            <v>mes</v>
          </cell>
          <cell r="D363">
            <v>1300</v>
          </cell>
          <cell r="H363">
            <v>1300</v>
          </cell>
          <cell r="I363">
            <v>0</v>
          </cell>
          <cell r="J363">
            <v>0</v>
          </cell>
          <cell r="K363">
            <v>0</v>
          </cell>
          <cell r="L363">
            <v>1300</v>
          </cell>
          <cell r="M363">
            <v>0</v>
          </cell>
        </row>
        <row r="364">
          <cell r="A364">
            <v>224</v>
          </cell>
          <cell r="B364" t="str">
            <v>Consumibles oficinas</v>
          </cell>
          <cell r="C364" t="str">
            <v>mes</v>
          </cell>
          <cell r="D364">
            <v>1000</v>
          </cell>
          <cell r="H364">
            <v>1000</v>
          </cell>
          <cell r="I364">
            <v>0</v>
          </cell>
          <cell r="J364">
            <v>0</v>
          </cell>
          <cell r="K364">
            <v>0</v>
          </cell>
          <cell r="L364">
            <v>1000</v>
          </cell>
          <cell r="M364">
            <v>0</v>
          </cell>
        </row>
        <row r="365">
          <cell r="A365">
            <v>225</v>
          </cell>
          <cell r="B365" t="str">
            <v>Mantenimiento y limpieza oficinas</v>
          </cell>
          <cell r="C365" t="str">
            <v>mes</v>
          </cell>
          <cell r="D365">
            <v>1300</v>
          </cell>
          <cell r="H365">
            <v>1300</v>
          </cell>
          <cell r="I365">
            <v>0</v>
          </cell>
          <cell r="J365">
            <v>0</v>
          </cell>
          <cell r="K365">
            <v>0</v>
          </cell>
          <cell r="L365">
            <v>1300</v>
          </cell>
          <cell r="M365" t="str">
            <v>sub</v>
          </cell>
        </row>
        <row r="366">
          <cell r="A366">
            <v>226</v>
          </cell>
          <cell r="B366" t="str">
            <v>Soporte p / diente de reclamado</v>
          </cell>
          <cell r="C366" t="str">
            <v>N°</v>
          </cell>
          <cell r="D366">
            <v>50</v>
          </cell>
          <cell r="H366">
            <v>50</v>
          </cell>
          <cell r="I366">
            <v>0</v>
          </cell>
          <cell r="J366">
            <v>0</v>
          </cell>
          <cell r="K366">
            <v>0</v>
          </cell>
          <cell r="L366">
            <v>50</v>
          </cell>
          <cell r="M366">
            <v>0</v>
          </cell>
        </row>
        <row r="367">
          <cell r="A367">
            <v>227</v>
          </cell>
          <cell r="B367" t="str">
            <v>ventana  metalica</v>
          </cell>
          <cell r="C367" t="str">
            <v>un.</v>
          </cell>
          <cell r="D367">
            <v>1500</v>
          </cell>
          <cell r="H367">
            <v>1500</v>
          </cell>
          <cell r="I367">
            <v>0</v>
          </cell>
          <cell r="J367">
            <v>0</v>
          </cell>
          <cell r="K367">
            <v>0</v>
          </cell>
          <cell r="L367">
            <v>1500</v>
          </cell>
          <cell r="M367">
            <v>0</v>
          </cell>
        </row>
        <row r="368">
          <cell r="A368">
            <v>228</v>
          </cell>
          <cell r="B368" t="str">
            <v>Materiales para juntas de dilatación</v>
          </cell>
          <cell r="C368" t="str">
            <v>gl</v>
          </cell>
          <cell r="D368">
            <v>375</v>
          </cell>
          <cell r="H368">
            <v>375</v>
          </cell>
          <cell r="I368">
            <v>0</v>
          </cell>
          <cell r="J368">
            <v>0</v>
          </cell>
          <cell r="K368">
            <v>0</v>
          </cell>
          <cell r="L368">
            <v>375</v>
          </cell>
          <cell r="M368">
            <v>0</v>
          </cell>
        </row>
        <row r="369">
          <cell r="A369">
            <v>229</v>
          </cell>
          <cell r="B369" t="str">
            <v>Escamas para Tierra Armada</v>
          </cell>
          <cell r="C369" t="str">
            <v>m2</v>
          </cell>
          <cell r="D369">
            <v>255</v>
          </cell>
          <cell r="H369">
            <v>255</v>
          </cell>
          <cell r="I369">
            <v>0</v>
          </cell>
          <cell r="J369">
            <v>0</v>
          </cell>
          <cell r="K369">
            <v>0</v>
          </cell>
          <cell r="L369">
            <v>255</v>
          </cell>
          <cell r="M369" t="str">
            <v>h</v>
          </cell>
        </row>
        <row r="370">
          <cell r="A370">
            <v>230</v>
          </cell>
          <cell r="B370" t="str">
            <v xml:space="preserve">Armaduras y accesorios p/tierra armada </v>
          </cell>
          <cell r="C370" t="str">
            <v>m2</v>
          </cell>
          <cell r="D370">
            <v>405</v>
          </cell>
          <cell r="H370">
            <v>405</v>
          </cell>
          <cell r="I370">
            <v>0</v>
          </cell>
          <cell r="J370">
            <v>0</v>
          </cell>
          <cell r="K370">
            <v>0</v>
          </cell>
          <cell r="L370">
            <v>405</v>
          </cell>
          <cell r="M370" t="str">
            <v>a</v>
          </cell>
        </row>
        <row r="371">
          <cell r="A371">
            <v>231</v>
          </cell>
          <cell r="B371" t="str">
            <v xml:space="preserve">tirafondo </v>
          </cell>
          <cell r="C371" t="str">
            <v>un.</v>
          </cell>
          <cell r="D371">
            <v>35</v>
          </cell>
          <cell r="H371">
            <v>35</v>
          </cell>
          <cell r="I371">
            <v>0</v>
          </cell>
          <cell r="J371">
            <v>0</v>
          </cell>
          <cell r="K371">
            <v>0</v>
          </cell>
          <cell r="L371">
            <v>35</v>
          </cell>
          <cell r="M371">
            <v>0</v>
          </cell>
        </row>
        <row r="372">
          <cell r="A372">
            <v>232</v>
          </cell>
          <cell r="B372" t="str">
            <v>fijaciones  para  durmientes  de  madera</v>
          </cell>
          <cell r="C372" t="str">
            <v>un</v>
          </cell>
          <cell r="D372">
            <v>45.900000000000006</v>
          </cell>
          <cell r="H372">
            <v>45.9</v>
          </cell>
          <cell r="I372">
            <v>0</v>
          </cell>
          <cell r="J372">
            <v>0</v>
          </cell>
          <cell r="K372">
            <v>0</v>
          </cell>
          <cell r="L372">
            <v>45.9</v>
          </cell>
          <cell r="M372">
            <v>0</v>
          </cell>
        </row>
        <row r="373">
          <cell r="A373">
            <v>233</v>
          </cell>
          <cell r="B373" t="str">
            <v>Materiales Sub Estación Transformadora 63 KVA</v>
          </cell>
          <cell r="C373" t="str">
            <v>Un</v>
          </cell>
          <cell r="D373">
            <v>23540</v>
          </cell>
          <cell r="H373">
            <v>23540</v>
          </cell>
          <cell r="I373">
            <v>0</v>
          </cell>
          <cell r="J373">
            <v>0</v>
          </cell>
          <cell r="K373">
            <v>0</v>
          </cell>
          <cell r="L373">
            <v>23540</v>
          </cell>
          <cell r="M373">
            <v>0</v>
          </cell>
        </row>
        <row r="374">
          <cell r="A374">
            <v>234</v>
          </cell>
          <cell r="B374" t="str">
            <v>Caño PRFV 300 mm clase IV</v>
          </cell>
          <cell r="C374" t="str">
            <v>m</v>
          </cell>
          <cell r="D374">
            <v>1298</v>
          </cell>
          <cell r="H374">
            <v>1298</v>
          </cell>
          <cell r="I374">
            <v>0</v>
          </cell>
          <cell r="J374">
            <v>0</v>
          </cell>
          <cell r="K374">
            <v>0</v>
          </cell>
          <cell r="L374">
            <v>1298</v>
          </cell>
          <cell r="M374">
            <v>0</v>
          </cell>
        </row>
        <row r="375">
          <cell r="A375">
            <v>235</v>
          </cell>
          <cell r="B375" t="str">
            <v>Caño PRFV 400 mm clase IV</v>
          </cell>
          <cell r="C375" t="str">
            <v>m</v>
          </cell>
          <cell r="D375">
            <v>1661</v>
          </cell>
          <cell r="H375">
            <v>1661</v>
          </cell>
          <cell r="I375">
            <v>0</v>
          </cell>
          <cell r="J375">
            <v>0</v>
          </cell>
          <cell r="K375">
            <v>0</v>
          </cell>
          <cell r="L375">
            <v>1661</v>
          </cell>
          <cell r="M375">
            <v>0</v>
          </cell>
        </row>
        <row r="376">
          <cell r="A376">
            <v>236</v>
          </cell>
          <cell r="B376" t="str">
            <v>Caño camisa p/caño 400 mm</v>
          </cell>
          <cell r="C376" t="str">
            <v>m</v>
          </cell>
          <cell r="D376">
            <v>1560</v>
          </cell>
          <cell r="H376">
            <v>1560</v>
          </cell>
          <cell r="I376">
            <v>0</v>
          </cell>
          <cell r="J376">
            <v>0</v>
          </cell>
          <cell r="K376">
            <v>0</v>
          </cell>
          <cell r="L376">
            <v>1560</v>
          </cell>
          <cell r="M376" t="str">
            <v>a</v>
          </cell>
        </row>
        <row r="377">
          <cell r="A377">
            <v>237</v>
          </cell>
          <cell r="B377" t="str">
            <v>Caño PRFV 500 mm clase III</v>
          </cell>
          <cell r="C377" t="str">
            <v>m</v>
          </cell>
          <cell r="D377">
            <v>2204</v>
          </cell>
          <cell r="H377">
            <v>2204</v>
          </cell>
          <cell r="I377">
            <v>0</v>
          </cell>
          <cell r="J377">
            <v>0</v>
          </cell>
          <cell r="K377">
            <v>0</v>
          </cell>
          <cell r="L377">
            <v>2204</v>
          </cell>
          <cell r="M377">
            <v>0</v>
          </cell>
        </row>
        <row r="378">
          <cell r="A378">
            <v>238</v>
          </cell>
          <cell r="B378" t="str">
            <v>Caño PRFV 600 mm clase III</v>
          </cell>
          <cell r="C378" t="str">
            <v>m</v>
          </cell>
          <cell r="D378">
            <v>3080</v>
          </cell>
          <cell r="H378">
            <v>3080</v>
          </cell>
          <cell r="I378">
            <v>0</v>
          </cell>
          <cell r="J378">
            <v>0</v>
          </cell>
          <cell r="K378">
            <v>0</v>
          </cell>
          <cell r="L378">
            <v>3080</v>
          </cell>
          <cell r="M378">
            <v>0</v>
          </cell>
        </row>
        <row r="379">
          <cell r="A379">
            <v>239</v>
          </cell>
          <cell r="B379" t="str">
            <v>Caño PRFV 700 mm clase III</v>
          </cell>
          <cell r="C379" t="str">
            <v>m</v>
          </cell>
          <cell r="D379">
            <v>4152</v>
          </cell>
          <cell r="H379">
            <v>4152</v>
          </cell>
          <cell r="I379">
            <v>0</v>
          </cell>
          <cell r="J379">
            <v>0</v>
          </cell>
          <cell r="K379">
            <v>0</v>
          </cell>
          <cell r="L379">
            <v>4152</v>
          </cell>
          <cell r="M379">
            <v>0</v>
          </cell>
        </row>
        <row r="380">
          <cell r="A380">
            <v>239.1</v>
          </cell>
          <cell r="B380" t="str">
            <v>Caño PRFV 800 mm clase III</v>
          </cell>
          <cell r="C380" t="str">
            <v>m</v>
          </cell>
          <cell r="D380">
            <v>5013</v>
          </cell>
          <cell r="H380">
            <v>5013</v>
          </cell>
          <cell r="I380">
            <v>0</v>
          </cell>
          <cell r="J380">
            <v>0</v>
          </cell>
          <cell r="K380">
            <v>0</v>
          </cell>
          <cell r="L380">
            <v>5013</v>
          </cell>
          <cell r="M380">
            <v>0</v>
          </cell>
        </row>
        <row r="381">
          <cell r="A381">
            <v>240</v>
          </cell>
          <cell r="B381" t="str">
            <v>Columna 9 m dobl pescante 1m placa base</v>
          </cell>
          <cell r="C381" t="str">
            <v>Un</v>
          </cell>
          <cell r="D381">
            <v>6600</v>
          </cell>
          <cell r="H381">
            <v>6600</v>
          </cell>
          <cell r="I381">
            <v>0</v>
          </cell>
          <cell r="J381">
            <v>0</v>
          </cell>
          <cell r="K381">
            <v>0</v>
          </cell>
          <cell r="L381">
            <v>6600</v>
          </cell>
          <cell r="M381" t="str">
            <v>a</v>
          </cell>
        </row>
        <row r="382">
          <cell r="A382">
            <v>240.1</v>
          </cell>
          <cell r="B382" t="str">
            <v>Materiales Varios de columnas</v>
          </cell>
          <cell r="C382" t="str">
            <v>gl</v>
          </cell>
          <cell r="D382">
            <v>89620</v>
          </cell>
          <cell r="H382">
            <v>89620</v>
          </cell>
          <cell r="I382">
            <v>0</v>
          </cell>
          <cell r="J382">
            <v>0</v>
          </cell>
          <cell r="K382">
            <v>0</v>
          </cell>
          <cell r="L382">
            <v>89620</v>
          </cell>
          <cell r="M382">
            <v>0</v>
          </cell>
        </row>
        <row r="383">
          <cell r="A383">
            <v>240.2</v>
          </cell>
          <cell r="B383" t="str">
            <v>Materiales Varios de columnas CR</v>
          </cell>
          <cell r="C383" t="str">
            <v>gl</v>
          </cell>
          <cell r="D383">
            <v>15490</v>
          </cell>
          <cell r="H383">
            <v>15490</v>
          </cell>
          <cell r="I383">
            <v>0</v>
          </cell>
          <cell r="J383">
            <v>0</v>
          </cell>
          <cell r="K383">
            <v>0</v>
          </cell>
          <cell r="L383">
            <v>15490</v>
          </cell>
          <cell r="M383">
            <v>0</v>
          </cell>
        </row>
        <row r="384">
          <cell r="A384">
            <v>241</v>
          </cell>
          <cell r="B384" t="str">
            <v>Artefacto Green Way</v>
          </cell>
          <cell r="C384" t="str">
            <v>Un</v>
          </cell>
          <cell r="D384">
            <v>9006</v>
          </cell>
          <cell r="H384">
            <v>9006</v>
          </cell>
          <cell r="I384">
            <v>0</v>
          </cell>
          <cell r="J384">
            <v>0</v>
          </cell>
          <cell r="K384">
            <v>0</v>
          </cell>
          <cell r="L384">
            <v>9006</v>
          </cell>
          <cell r="M384">
            <v>0</v>
          </cell>
        </row>
        <row r="385">
          <cell r="A385">
            <v>242</v>
          </cell>
          <cell r="B385" t="str">
            <v>Artefacto proyector FTI 400</v>
          </cell>
          <cell r="C385" t="str">
            <v>Un</v>
          </cell>
          <cell r="D385">
            <v>2894</v>
          </cell>
          <cell r="H385">
            <v>2894</v>
          </cell>
          <cell r="I385">
            <v>0</v>
          </cell>
          <cell r="J385">
            <v>0</v>
          </cell>
          <cell r="K385">
            <v>0</v>
          </cell>
          <cell r="L385">
            <v>2894</v>
          </cell>
          <cell r="M385">
            <v>0</v>
          </cell>
        </row>
        <row r="386">
          <cell r="A386">
            <v>243</v>
          </cell>
          <cell r="B386" t="str">
            <v>Artefacto tubos fluor.</v>
          </cell>
          <cell r="C386" t="str">
            <v>Un</v>
          </cell>
          <cell r="D386">
            <v>409</v>
          </cell>
          <cell r="H386">
            <v>409</v>
          </cell>
          <cell r="I386">
            <v>0</v>
          </cell>
          <cell r="J386">
            <v>0</v>
          </cell>
          <cell r="K386">
            <v>0</v>
          </cell>
          <cell r="L386">
            <v>409</v>
          </cell>
          <cell r="M386">
            <v>0</v>
          </cell>
        </row>
        <row r="387">
          <cell r="A387">
            <v>244</v>
          </cell>
          <cell r="B387" t="str">
            <v>Cañerias y conductores</v>
          </cell>
          <cell r="C387" t="str">
            <v>gl</v>
          </cell>
          <cell r="D387">
            <v>13000</v>
          </cell>
          <cell r="H387">
            <v>13000</v>
          </cell>
          <cell r="I387">
            <v>0</v>
          </cell>
          <cell r="J387">
            <v>0</v>
          </cell>
          <cell r="K387">
            <v>0</v>
          </cell>
          <cell r="L387">
            <v>13000</v>
          </cell>
          <cell r="M387">
            <v>0</v>
          </cell>
        </row>
        <row r="388">
          <cell r="A388">
            <v>245</v>
          </cell>
          <cell r="B388" t="str">
            <v>Accesorios electricos</v>
          </cell>
          <cell r="C388" t="str">
            <v>gl</v>
          </cell>
          <cell r="D388">
            <v>1950</v>
          </cell>
          <cell r="H388">
            <v>1950</v>
          </cell>
          <cell r="I388">
            <v>0</v>
          </cell>
          <cell r="J388">
            <v>0</v>
          </cell>
          <cell r="K388">
            <v>0</v>
          </cell>
          <cell r="L388">
            <v>1950</v>
          </cell>
          <cell r="M388">
            <v>0</v>
          </cell>
        </row>
        <row r="389">
          <cell r="A389">
            <v>245.1</v>
          </cell>
          <cell r="B389" t="str">
            <v>Farolas peatonales 250W</v>
          </cell>
          <cell r="C389" t="str">
            <v>Un</v>
          </cell>
          <cell r="D389">
            <v>4150</v>
          </cell>
          <cell r="H389">
            <v>4150</v>
          </cell>
          <cell r="I389">
            <v>0</v>
          </cell>
          <cell r="J389">
            <v>0</v>
          </cell>
          <cell r="K389">
            <v>0</v>
          </cell>
          <cell r="L389">
            <v>4150</v>
          </cell>
          <cell r="M389">
            <v>0</v>
          </cell>
        </row>
        <row r="390">
          <cell r="A390">
            <v>246</v>
          </cell>
          <cell r="B390" t="str">
            <v>Tablero Principal</v>
          </cell>
          <cell r="C390" t="str">
            <v>Un</v>
          </cell>
          <cell r="D390">
            <v>196395</v>
          </cell>
          <cell r="H390">
            <v>196395</v>
          </cell>
          <cell r="I390">
            <v>0</v>
          </cell>
          <cell r="J390">
            <v>0</v>
          </cell>
          <cell r="K390">
            <v>0</v>
          </cell>
          <cell r="L390">
            <v>196395</v>
          </cell>
          <cell r="M390">
            <v>0</v>
          </cell>
        </row>
        <row r="391">
          <cell r="A391">
            <v>246.1</v>
          </cell>
          <cell r="B391" t="str">
            <v>Tablero de columna CR</v>
          </cell>
          <cell r="C391" t="str">
            <v>Un</v>
          </cell>
          <cell r="D391">
            <v>1689.9819004524886</v>
          </cell>
          <cell r="H391">
            <v>1689.98</v>
          </cell>
          <cell r="I391">
            <v>0</v>
          </cell>
          <cell r="J391">
            <v>0</v>
          </cell>
          <cell r="K391">
            <v>0</v>
          </cell>
          <cell r="L391">
            <v>1689.98</v>
          </cell>
          <cell r="M391">
            <v>0</v>
          </cell>
        </row>
        <row r="392">
          <cell r="A392">
            <v>247</v>
          </cell>
          <cell r="B392" t="str">
            <v>Conductor subterráneo XLPE de 3x95/50 mm²</v>
          </cell>
          <cell r="C392" t="str">
            <v>Un</v>
          </cell>
          <cell r="D392">
            <v>498</v>
          </cell>
          <cell r="H392">
            <v>498</v>
          </cell>
          <cell r="I392">
            <v>0</v>
          </cell>
          <cell r="J392">
            <v>0</v>
          </cell>
          <cell r="K392">
            <v>0</v>
          </cell>
          <cell r="L392">
            <v>498</v>
          </cell>
          <cell r="M392">
            <v>0</v>
          </cell>
        </row>
        <row r="393">
          <cell r="A393">
            <v>248</v>
          </cell>
          <cell r="B393" t="str">
            <v>Conductor subterráneo XLPE de 3x50/25 mm²</v>
          </cell>
          <cell r="C393" t="str">
            <v>Un</v>
          </cell>
          <cell r="D393">
            <v>258</v>
          </cell>
          <cell r="H393">
            <v>258</v>
          </cell>
          <cell r="I393">
            <v>0</v>
          </cell>
          <cell r="J393">
            <v>0</v>
          </cell>
          <cell r="K393">
            <v>0</v>
          </cell>
          <cell r="L393">
            <v>258</v>
          </cell>
          <cell r="M393">
            <v>0</v>
          </cell>
        </row>
        <row r="394">
          <cell r="A394">
            <v>249</v>
          </cell>
          <cell r="B394" t="str">
            <v>Conductor subterráneo de 3x25/16 mm²</v>
          </cell>
          <cell r="C394" t="str">
            <v>Un</v>
          </cell>
          <cell r="D394">
            <v>134</v>
          </cell>
          <cell r="H394">
            <v>134</v>
          </cell>
          <cell r="I394">
            <v>0</v>
          </cell>
          <cell r="J394">
            <v>0</v>
          </cell>
          <cell r="K394">
            <v>0</v>
          </cell>
          <cell r="L394">
            <v>134</v>
          </cell>
          <cell r="M394">
            <v>0</v>
          </cell>
        </row>
        <row r="395">
          <cell r="A395">
            <v>250</v>
          </cell>
          <cell r="B395" t="str">
            <v>Conductor subterráneo de 4x10 mm²</v>
          </cell>
          <cell r="C395" t="str">
            <v>Un</v>
          </cell>
          <cell r="D395">
            <v>62</v>
          </cell>
          <cell r="H395">
            <v>62</v>
          </cell>
          <cell r="I395">
            <v>0</v>
          </cell>
          <cell r="J395">
            <v>0</v>
          </cell>
          <cell r="K395">
            <v>0</v>
          </cell>
          <cell r="L395">
            <v>62</v>
          </cell>
          <cell r="M395">
            <v>0</v>
          </cell>
        </row>
        <row r="396">
          <cell r="A396">
            <v>251</v>
          </cell>
          <cell r="B396" t="str">
            <v>Conductor subterráneo de 4x16 mm²</v>
          </cell>
          <cell r="C396" t="str">
            <v>Un</v>
          </cell>
          <cell r="D396">
            <v>94</v>
          </cell>
          <cell r="H396">
            <v>94</v>
          </cell>
          <cell r="I396">
            <v>0</v>
          </cell>
          <cell r="J396">
            <v>0</v>
          </cell>
          <cell r="K396">
            <v>0</v>
          </cell>
          <cell r="L396">
            <v>94</v>
          </cell>
          <cell r="M396">
            <v>0</v>
          </cell>
        </row>
        <row r="397">
          <cell r="A397">
            <v>252</v>
          </cell>
          <cell r="B397" t="str">
            <v>Conductor subterráneo de 3x2,5 mm²</v>
          </cell>
          <cell r="C397" t="str">
            <v>Un</v>
          </cell>
          <cell r="D397">
            <v>15</v>
          </cell>
          <cell r="H397">
            <v>15</v>
          </cell>
          <cell r="I397">
            <v>0</v>
          </cell>
          <cell r="J397">
            <v>0</v>
          </cell>
          <cell r="K397">
            <v>0</v>
          </cell>
          <cell r="L397">
            <v>15</v>
          </cell>
          <cell r="M397">
            <v>0</v>
          </cell>
        </row>
        <row r="398">
          <cell r="A398">
            <v>253</v>
          </cell>
          <cell r="B398" t="str">
            <v>cable desnudo de 35 mm²</v>
          </cell>
          <cell r="C398" t="str">
            <v>Un</v>
          </cell>
          <cell r="D398">
            <v>42</v>
          </cell>
          <cell r="H398">
            <v>42</v>
          </cell>
          <cell r="I398">
            <v>0</v>
          </cell>
          <cell r="J398">
            <v>0</v>
          </cell>
          <cell r="K398">
            <v>0</v>
          </cell>
          <cell r="L398">
            <v>42</v>
          </cell>
          <cell r="M398">
            <v>0</v>
          </cell>
        </row>
        <row r="399">
          <cell r="A399">
            <v>254</v>
          </cell>
          <cell r="B399" t="str">
            <v>Cable de 1x35 mm² desnudo malla</v>
          </cell>
          <cell r="C399" t="str">
            <v>Un</v>
          </cell>
          <cell r="D399">
            <v>42</v>
          </cell>
          <cell r="H399">
            <v>42</v>
          </cell>
          <cell r="I399">
            <v>0</v>
          </cell>
          <cell r="J399">
            <v>0</v>
          </cell>
          <cell r="K399">
            <v>0</v>
          </cell>
          <cell r="L399">
            <v>42</v>
          </cell>
          <cell r="M399">
            <v>0</v>
          </cell>
        </row>
        <row r="400">
          <cell r="A400">
            <v>254.1</v>
          </cell>
          <cell r="B400" t="str">
            <v>Mat. Varios Conductores</v>
          </cell>
          <cell r="C400" t="str">
            <v>gl</v>
          </cell>
          <cell r="D400">
            <v>29850</v>
          </cell>
          <cell r="H400">
            <v>29850</v>
          </cell>
          <cell r="I400">
            <v>0</v>
          </cell>
          <cell r="J400">
            <v>0</v>
          </cell>
          <cell r="K400">
            <v>0</v>
          </cell>
          <cell r="L400">
            <v>29850</v>
          </cell>
          <cell r="M400">
            <v>0</v>
          </cell>
        </row>
        <row r="401">
          <cell r="A401">
            <v>254.2</v>
          </cell>
          <cell r="B401" t="str">
            <v>Mat. Varios Conductores CR</v>
          </cell>
          <cell r="C401" t="str">
            <v>gl</v>
          </cell>
          <cell r="D401">
            <v>8840</v>
          </cell>
          <cell r="H401">
            <v>8840</v>
          </cell>
          <cell r="I401">
            <v>0</v>
          </cell>
          <cell r="J401">
            <v>0</v>
          </cell>
          <cell r="K401">
            <v>0</v>
          </cell>
          <cell r="L401">
            <v>8840</v>
          </cell>
          <cell r="M401">
            <v>0</v>
          </cell>
        </row>
        <row r="402">
          <cell r="A402">
            <v>255</v>
          </cell>
          <cell r="B402" t="str">
            <v>Cavado y llenado bases columnas</v>
          </cell>
          <cell r="C402" t="str">
            <v>Nº</v>
          </cell>
          <cell r="D402">
            <v>390</v>
          </cell>
          <cell r="H402">
            <v>390</v>
          </cell>
          <cell r="I402">
            <v>0</v>
          </cell>
          <cell r="J402">
            <v>0</v>
          </cell>
          <cell r="K402">
            <v>0</v>
          </cell>
          <cell r="L402">
            <v>390</v>
          </cell>
          <cell r="M402">
            <v>0</v>
          </cell>
        </row>
        <row r="403">
          <cell r="A403">
            <v>256</v>
          </cell>
          <cell r="B403" t="str">
            <v>Cavado y llenado bases tableros</v>
          </cell>
          <cell r="C403" t="str">
            <v>Nº</v>
          </cell>
          <cell r="D403">
            <v>250</v>
          </cell>
          <cell r="H403">
            <v>250</v>
          </cell>
          <cell r="I403">
            <v>0</v>
          </cell>
          <cell r="J403">
            <v>0</v>
          </cell>
          <cell r="K403">
            <v>0</v>
          </cell>
          <cell r="L403">
            <v>250</v>
          </cell>
          <cell r="M403">
            <v>0</v>
          </cell>
        </row>
        <row r="404">
          <cell r="A404">
            <v>258</v>
          </cell>
          <cell r="B404" t="str">
            <v>Mat. p/zanjeo de instalación</v>
          </cell>
          <cell r="C404" t="str">
            <v>Mts.</v>
          </cell>
          <cell r="D404">
            <v>5</v>
          </cell>
          <cell r="H404">
            <v>5</v>
          </cell>
          <cell r="I404">
            <v>0</v>
          </cell>
          <cell r="J404">
            <v>0</v>
          </cell>
          <cell r="K404">
            <v>0</v>
          </cell>
          <cell r="L404">
            <v>5</v>
          </cell>
          <cell r="M404">
            <v>0</v>
          </cell>
        </row>
        <row r="405">
          <cell r="A405">
            <v>259</v>
          </cell>
          <cell r="B405" t="str">
            <v xml:space="preserve">Arena </v>
          </cell>
          <cell r="C405" t="str">
            <v>m³</v>
          </cell>
          <cell r="D405">
            <v>360</v>
          </cell>
          <cell r="H405">
            <v>360</v>
          </cell>
          <cell r="I405">
            <v>0</v>
          </cell>
          <cell r="J405">
            <v>0</v>
          </cell>
          <cell r="K405">
            <v>0</v>
          </cell>
          <cell r="L405">
            <v>360</v>
          </cell>
          <cell r="M405">
            <v>0</v>
          </cell>
        </row>
        <row r="406">
          <cell r="A406">
            <v>260</v>
          </cell>
          <cell r="B406" t="str">
            <v>Ladrillos</v>
          </cell>
          <cell r="C406" t="str">
            <v>Nº</v>
          </cell>
          <cell r="D406">
            <v>2.4</v>
          </cell>
          <cell r="H406">
            <v>2.4</v>
          </cell>
          <cell r="I406">
            <v>0</v>
          </cell>
          <cell r="J406">
            <v>0</v>
          </cell>
          <cell r="K406">
            <v>0</v>
          </cell>
          <cell r="L406">
            <v>2.4</v>
          </cell>
          <cell r="M406">
            <v>0</v>
          </cell>
        </row>
        <row r="407">
          <cell r="A407">
            <v>261</v>
          </cell>
          <cell r="B407" t="str">
            <v>Cinta de peligro eléctrica</v>
          </cell>
          <cell r="C407" t="str">
            <v>Mts.</v>
          </cell>
          <cell r="D407">
            <v>0.45</v>
          </cell>
          <cell r="H407">
            <v>0.45</v>
          </cell>
          <cell r="I407">
            <v>0</v>
          </cell>
          <cell r="J407">
            <v>0</v>
          </cell>
          <cell r="K407">
            <v>0</v>
          </cell>
          <cell r="L407">
            <v>0.45</v>
          </cell>
          <cell r="M407">
            <v>0</v>
          </cell>
        </row>
        <row r="408">
          <cell r="A408">
            <v>262</v>
          </cell>
          <cell r="B408" t="str">
            <v>Mat. p/cruce de calzada</v>
          </cell>
          <cell r="C408" t="str">
            <v>Mts.</v>
          </cell>
          <cell r="D408">
            <v>41.4</v>
          </cell>
          <cell r="H408">
            <v>41.4</v>
          </cell>
          <cell r="I408">
            <v>0</v>
          </cell>
          <cell r="J408">
            <v>0</v>
          </cell>
          <cell r="K408">
            <v>0</v>
          </cell>
          <cell r="L408">
            <v>41.4</v>
          </cell>
          <cell r="M408">
            <v>0</v>
          </cell>
        </row>
        <row r="409">
          <cell r="A409">
            <v>263</v>
          </cell>
          <cell r="B409" t="str">
            <v>Mat. p/sellado caño de cruce, pileta de ladr.y mojón de ubic.</v>
          </cell>
          <cell r="C409" t="str">
            <v>Nº</v>
          </cell>
          <cell r="D409">
            <v>120</v>
          </cell>
          <cell r="H409">
            <v>120</v>
          </cell>
          <cell r="I409">
            <v>0</v>
          </cell>
          <cell r="J409">
            <v>0</v>
          </cell>
          <cell r="K409">
            <v>0</v>
          </cell>
          <cell r="L409">
            <v>120</v>
          </cell>
          <cell r="M409">
            <v>0</v>
          </cell>
        </row>
        <row r="410">
          <cell r="A410">
            <v>264</v>
          </cell>
          <cell r="B410" t="str">
            <v>Mat. p/retoque de pintura columnas de 9 mts</v>
          </cell>
          <cell r="C410" t="str">
            <v>Nº</v>
          </cell>
          <cell r="D410">
            <v>150</v>
          </cell>
          <cell r="H410">
            <v>150</v>
          </cell>
          <cell r="I410">
            <v>0</v>
          </cell>
          <cell r="J410">
            <v>0</v>
          </cell>
          <cell r="K410">
            <v>0</v>
          </cell>
          <cell r="L410">
            <v>150</v>
          </cell>
          <cell r="M410">
            <v>0</v>
          </cell>
        </row>
        <row r="411">
          <cell r="A411">
            <v>265</v>
          </cell>
          <cell r="B411" t="str">
            <v>Caño de PVC Ø 75 mm en New jersey</v>
          </cell>
          <cell r="C411" t="str">
            <v>Mts.</v>
          </cell>
          <cell r="D411">
            <v>35</v>
          </cell>
          <cell r="H411">
            <v>35</v>
          </cell>
          <cell r="I411">
            <v>0</v>
          </cell>
          <cell r="J411">
            <v>0</v>
          </cell>
          <cell r="K411">
            <v>0</v>
          </cell>
          <cell r="L411">
            <v>35</v>
          </cell>
          <cell r="M411">
            <v>0</v>
          </cell>
        </row>
        <row r="412">
          <cell r="A412">
            <v>266</v>
          </cell>
          <cell r="B412" t="str">
            <v>Materiales varios p/ zanjeos AU</v>
          </cell>
          <cell r="C412" t="str">
            <v>gl</v>
          </cell>
          <cell r="D412">
            <v>30450</v>
          </cell>
          <cell r="H412">
            <v>30450</v>
          </cell>
          <cell r="I412">
            <v>0</v>
          </cell>
          <cell r="J412">
            <v>0</v>
          </cell>
          <cell r="K412">
            <v>0</v>
          </cell>
          <cell r="L412">
            <v>30450</v>
          </cell>
          <cell r="M412">
            <v>0</v>
          </cell>
        </row>
        <row r="413">
          <cell r="A413">
            <v>266.10000000000002</v>
          </cell>
          <cell r="B413" t="str">
            <v>Materiales varios p/ zanjeos CR</v>
          </cell>
          <cell r="C413" t="str">
            <v>gl</v>
          </cell>
          <cell r="D413">
            <v>6720</v>
          </cell>
          <cell r="H413">
            <v>6720</v>
          </cell>
          <cell r="I413">
            <v>0</v>
          </cell>
          <cell r="J413">
            <v>0</v>
          </cell>
          <cell r="K413">
            <v>0</v>
          </cell>
          <cell r="L413">
            <v>6720</v>
          </cell>
          <cell r="M413">
            <v>0</v>
          </cell>
        </row>
        <row r="414">
          <cell r="A414">
            <v>267</v>
          </cell>
          <cell r="B414" t="str">
            <v>Tablero metálico</v>
          </cell>
          <cell r="C414" t="str">
            <v>Nº</v>
          </cell>
          <cell r="D414">
            <v>18200</v>
          </cell>
          <cell r="H414">
            <v>18200</v>
          </cell>
          <cell r="I414">
            <v>0</v>
          </cell>
          <cell r="J414">
            <v>0</v>
          </cell>
          <cell r="K414">
            <v>0</v>
          </cell>
          <cell r="L414">
            <v>18200</v>
          </cell>
          <cell r="M414" t="str">
            <v>a</v>
          </cell>
        </row>
        <row r="415">
          <cell r="A415">
            <v>268</v>
          </cell>
          <cell r="B415" t="str">
            <v xml:space="preserve">Tablero metálico 5/6 </v>
          </cell>
          <cell r="C415" t="str">
            <v>Nº</v>
          </cell>
          <cell r="D415">
            <v>14340</v>
          </cell>
          <cell r="H415">
            <v>14340</v>
          </cell>
          <cell r="I415">
            <v>0</v>
          </cell>
          <cell r="J415">
            <v>0</v>
          </cell>
          <cell r="K415">
            <v>0</v>
          </cell>
          <cell r="L415">
            <v>14340</v>
          </cell>
          <cell r="M415" t="str">
            <v>a</v>
          </cell>
        </row>
        <row r="416">
          <cell r="A416">
            <v>269</v>
          </cell>
          <cell r="B416" t="str">
            <v>Tablero metálico 3/2</v>
          </cell>
          <cell r="C416" t="str">
            <v>Nº</v>
          </cell>
          <cell r="D416">
            <v>9450</v>
          </cell>
          <cell r="H416">
            <v>9450</v>
          </cell>
          <cell r="I416">
            <v>0</v>
          </cell>
          <cell r="J416">
            <v>0</v>
          </cell>
          <cell r="K416">
            <v>0</v>
          </cell>
          <cell r="L416">
            <v>9450</v>
          </cell>
          <cell r="M416" t="str">
            <v>a</v>
          </cell>
        </row>
        <row r="417">
          <cell r="A417">
            <v>270</v>
          </cell>
          <cell r="B417" t="str">
            <v>Bloque H 0,2 x 0,2 x 0,4</v>
          </cell>
          <cell r="C417" t="str">
            <v>N°</v>
          </cell>
          <cell r="D417">
            <v>21.07</v>
          </cell>
          <cell r="H417">
            <v>21.07</v>
          </cell>
          <cell r="I417">
            <v>0</v>
          </cell>
          <cell r="J417">
            <v>0</v>
          </cell>
          <cell r="K417">
            <v>0</v>
          </cell>
          <cell r="L417">
            <v>21.07</v>
          </cell>
          <cell r="M417">
            <v>0</v>
          </cell>
        </row>
        <row r="418">
          <cell r="A418">
            <v>271</v>
          </cell>
          <cell r="B418" t="str">
            <v>Mat. p/ semaforización</v>
          </cell>
          <cell r="C418" t="str">
            <v>Gl</v>
          </cell>
          <cell r="D418">
            <v>22000</v>
          </cell>
          <cell r="H418">
            <v>22000</v>
          </cell>
          <cell r="I418">
            <v>0</v>
          </cell>
          <cell r="J418">
            <v>0</v>
          </cell>
          <cell r="K418">
            <v>0</v>
          </cell>
          <cell r="L418">
            <v>22000</v>
          </cell>
          <cell r="M418">
            <v>0</v>
          </cell>
        </row>
        <row r="419">
          <cell r="A419">
            <v>272</v>
          </cell>
          <cell r="B419" t="str">
            <v>sellador  acrilico ( matapolvo)</v>
          </cell>
          <cell r="C419" t="str">
            <v>Lts</v>
          </cell>
          <cell r="D419">
            <v>110</v>
          </cell>
          <cell r="H419">
            <v>110</v>
          </cell>
          <cell r="I419">
            <v>0</v>
          </cell>
          <cell r="J419">
            <v>0</v>
          </cell>
          <cell r="K419">
            <v>0</v>
          </cell>
          <cell r="L419">
            <v>110</v>
          </cell>
          <cell r="M419" t="str">
            <v>sub</v>
          </cell>
        </row>
        <row r="420">
          <cell r="A420">
            <v>273</v>
          </cell>
          <cell r="B420" t="str">
            <v>Subcontrato Iluminación de Ramas</v>
          </cell>
          <cell r="C420" t="str">
            <v>Gl</v>
          </cell>
          <cell r="D420">
            <v>120000</v>
          </cell>
          <cell r="H420">
            <v>120000</v>
          </cell>
          <cell r="I420">
            <v>0</v>
          </cell>
          <cell r="J420">
            <v>0</v>
          </cell>
          <cell r="K420">
            <v>0</v>
          </cell>
          <cell r="L420">
            <v>120000</v>
          </cell>
          <cell r="M420" t="str">
            <v>sub</v>
          </cell>
        </row>
        <row r="421">
          <cell r="A421">
            <v>274</v>
          </cell>
          <cell r="B421" t="str">
            <v>Bloques intertrabados de hormigón p/ pavimento</v>
          </cell>
          <cell r="C421" t="str">
            <v>m2</v>
          </cell>
          <cell r="D421">
            <v>333</v>
          </cell>
          <cell r="H421">
            <v>333</v>
          </cell>
          <cell r="I421">
            <v>0</v>
          </cell>
          <cell r="J421">
            <v>0</v>
          </cell>
          <cell r="K421">
            <v>0</v>
          </cell>
          <cell r="L421">
            <v>333</v>
          </cell>
          <cell r="M421" t="str">
            <v>h</v>
          </cell>
        </row>
        <row r="422">
          <cell r="A422">
            <v>275</v>
          </cell>
          <cell r="B422" t="str">
            <v>Mortero p/ Grouting (bolsa 25kg)</v>
          </cell>
          <cell r="C422" t="str">
            <v>N°</v>
          </cell>
          <cell r="D422">
            <v>192.2</v>
          </cell>
          <cell r="H422">
            <v>192.2</v>
          </cell>
          <cell r="I422">
            <v>0</v>
          </cell>
          <cell r="J422">
            <v>0</v>
          </cell>
          <cell r="K422">
            <v>0</v>
          </cell>
          <cell r="L422">
            <v>192.2</v>
          </cell>
          <cell r="M422">
            <v>0</v>
          </cell>
        </row>
        <row r="423">
          <cell r="A423">
            <v>276</v>
          </cell>
          <cell r="B423" t="str">
            <v>Loseta granítica 40 x 40</v>
          </cell>
          <cell r="C423" t="str">
            <v>m2</v>
          </cell>
          <cell r="D423">
            <v>243</v>
          </cell>
          <cell r="H423">
            <v>243</v>
          </cell>
          <cell r="I423">
            <v>0</v>
          </cell>
          <cell r="J423">
            <v>0</v>
          </cell>
          <cell r="K423">
            <v>0</v>
          </cell>
          <cell r="L423">
            <v>243</v>
          </cell>
          <cell r="M423">
            <v>0</v>
          </cell>
        </row>
        <row r="424">
          <cell r="A424">
            <v>276.10000000000002</v>
          </cell>
          <cell r="B424" t="str">
            <v>Loseta granitica   40 x 40 simil goma</v>
          </cell>
          <cell r="C424" t="str">
            <v>m2</v>
          </cell>
          <cell r="D424">
            <v>274</v>
          </cell>
          <cell r="H424">
            <v>274</v>
          </cell>
          <cell r="I424">
            <v>0</v>
          </cell>
          <cell r="J424">
            <v>0</v>
          </cell>
          <cell r="K424">
            <v>0</v>
          </cell>
          <cell r="L424">
            <v>274</v>
          </cell>
          <cell r="M424">
            <v>0</v>
          </cell>
        </row>
        <row r="425">
          <cell r="A425">
            <v>277.2</v>
          </cell>
          <cell r="B425" t="str">
            <v>Loseta Calcarea  40 x 40 accesibilidad</v>
          </cell>
          <cell r="C425" t="str">
            <v>m2</v>
          </cell>
          <cell r="D425">
            <v>320.8</v>
          </cell>
          <cell r="H425">
            <v>320.8</v>
          </cell>
          <cell r="I425">
            <v>0</v>
          </cell>
          <cell r="J425">
            <v>0</v>
          </cell>
          <cell r="K425">
            <v>0</v>
          </cell>
          <cell r="L425">
            <v>320.8</v>
          </cell>
          <cell r="M425">
            <v>1</v>
          </cell>
        </row>
        <row r="426">
          <cell r="A426">
            <v>277</v>
          </cell>
          <cell r="B426" t="str">
            <v>Subcontrato de postesado de vigas incl/ inspección</v>
          </cell>
          <cell r="C426" t="str">
            <v>gl</v>
          </cell>
          <cell r="D426">
            <v>49140</v>
          </cell>
          <cell r="H426">
            <v>49140</v>
          </cell>
          <cell r="I426">
            <v>0</v>
          </cell>
          <cell r="J426">
            <v>0</v>
          </cell>
          <cell r="K426">
            <v>0</v>
          </cell>
          <cell r="L426">
            <v>49140</v>
          </cell>
          <cell r="M426" t="str">
            <v>sub</v>
          </cell>
        </row>
        <row r="427">
          <cell r="A427">
            <v>278</v>
          </cell>
          <cell r="B427" t="str">
            <v>Caño Galvanizado 8" con buña y tapa p/ bolardo</v>
          </cell>
          <cell r="C427" t="str">
            <v>m</v>
          </cell>
          <cell r="D427">
            <v>2500</v>
          </cell>
          <cell r="H427">
            <v>2500</v>
          </cell>
          <cell r="I427">
            <v>0</v>
          </cell>
          <cell r="J427">
            <v>0</v>
          </cell>
          <cell r="K427">
            <v>0</v>
          </cell>
          <cell r="L427">
            <v>2500</v>
          </cell>
          <cell r="M427" t="str">
            <v>a</v>
          </cell>
        </row>
        <row r="428">
          <cell r="A428">
            <v>279</v>
          </cell>
          <cell r="B428" t="str">
            <v>Caño de A.I. 152,8 mm</v>
          </cell>
          <cell r="C428" t="str">
            <v>m</v>
          </cell>
          <cell r="D428">
            <v>715</v>
          </cell>
          <cell r="H428">
            <v>715</v>
          </cell>
          <cell r="I428">
            <v>0</v>
          </cell>
          <cell r="J428">
            <v>0</v>
          </cell>
          <cell r="K428">
            <v>0</v>
          </cell>
          <cell r="L428">
            <v>715</v>
          </cell>
          <cell r="M428" t="str">
            <v>a</v>
          </cell>
        </row>
        <row r="429">
          <cell r="A429">
            <v>280</v>
          </cell>
          <cell r="B429" t="str">
            <v>Caño de A.I. 60,3 mm</v>
          </cell>
          <cell r="C429" t="str">
            <v>m</v>
          </cell>
          <cell r="D429">
            <v>290</v>
          </cell>
          <cell r="H429">
            <v>290</v>
          </cell>
          <cell r="I429">
            <v>0</v>
          </cell>
          <cell r="J429">
            <v>0</v>
          </cell>
          <cell r="K429">
            <v>0</v>
          </cell>
          <cell r="L429">
            <v>290</v>
          </cell>
          <cell r="M429" t="str">
            <v>a</v>
          </cell>
        </row>
        <row r="430">
          <cell r="A430">
            <v>281</v>
          </cell>
          <cell r="B430" t="str">
            <v>Reja metálica p/ canaleta de 0,24m</v>
          </cell>
          <cell r="C430" t="str">
            <v>N°</v>
          </cell>
          <cell r="D430">
            <v>2000</v>
          </cell>
          <cell r="H430">
            <v>2000</v>
          </cell>
          <cell r="I430">
            <v>0</v>
          </cell>
          <cell r="J430">
            <v>0</v>
          </cell>
          <cell r="K430">
            <v>0</v>
          </cell>
          <cell r="L430">
            <v>2000</v>
          </cell>
          <cell r="M430" t="str">
            <v>a</v>
          </cell>
        </row>
        <row r="431">
          <cell r="A431">
            <v>282</v>
          </cell>
          <cell r="B431" t="str">
            <v xml:space="preserve">Módulo reja horiz. y cordón fundidos </v>
          </cell>
          <cell r="C431" t="str">
            <v>un.</v>
          </cell>
          <cell r="D431">
            <v>4981</v>
          </cell>
          <cell r="H431">
            <v>4981</v>
          </cell>
          <cell r="I431">
            <v>0</v>
          </cell>
          <cell r="J431">
            <v>0</v>
          </cell>
          <cell r="K431">
            <v>0</v>
          </cell>
          <cell r="L431">
            <v>4981</v>
          </cell>
          <cell r="M431" t="str">
            <v>a</v>
          </cell>
        </row>
        <row r="432">
          <cell r="A432">
            <v>283</v>
          </cell>
          <cell r="B432" t="str">
            <v>Reja metálica artiplac p/ canaleta de 1,20mx0,30m</v>
          </cell>
          <cell r="C432" t="str">
            <v>m</v>
          </cell>
          <cell r="D432">
            <v>2000</v>
          </cell>
          <cell r="H432">
            <v>2000</v>
          </cell>
          <cell r="I432">
            <v>0</v>
          </cell>
          <cell r="J432">
            <v>0</v>
          </cell>
          <cell r="K432">
            <v>0</v>
          </cell>
          <cell r="L432">
            <v>2000</v>
          </cell>
          <cell r="M432" t="str">
            <v>a</v>
          </cell>
        </row>
        <row r="433">
          <cell r="A433">
            <v>284</v>
          </cell>
          <cell r="B433" t="str">
            <v xml:space="preserve">Módulo reja horizontal y cordón fundidos </v>
          </cell>
          <cell r="C433" t="str">
            <v>un.</v>
          </cell>
          <cell r="D433">
            <v>6795</v>
          </cell>
          <cell r="H433">
            <v>6795</v>
          </cell>
          <cell r="I433">
            <v>0</v>
          </cell>
          <cell r="J433">
            <v>0</v>
          </cell>
          <cell r="K433">
            <v>0</v>
          </cell>
          <cell r="L433">
            <v>6795</v>
          </cell>
          <cell r="M433" t="str">
            <v>a</v>
          </cell>
        </row>
        <row r="434">
          <cell r="A434">
            <v>285</v>
          </cell>
          <cell r="B434" t="str">
            <v>Marco y tapa D:0,60m Bocas de registro</v>
          </cell>
          <cell r="C434" t="str">
            <v>N°</v>
          </cell>
          <cell r="D434">
            <v>1812</v>
          </cell>
          <cell r="H434">
            <v>1812</v>
          </cell>
          <cell r="I434">
            <v>0</v>
          </cell>
          <cell r="J434">
            <v>0</v>
          </cell>
          <cell r="K434">
            <v>0</v>
          </cell>
          <cell r="L434">
            <v>1812</v>
          </cell>
          <cell r="M434" t="str">
            <v>a</v>
          </cell>
        </row>
        <row r="435">
          <cell r="A435">
            <v>286</v>
          </cell>
          <cell r="B435" t="str">
            <v>Puerta   metalica  0,9x2,05</v>
          </cell>
          <cell r="C435" t="str">
            <v>un.</v>
          </cell>
          <cell r="D435">
            <v>2500</v>
          </cell>
          <cell r="H435">
            <v>2500</v>
          </cell>
          <cell r="I435">
            <v>0</v>
          </cell>
          <cell r="J435">
            <v>0</v>
          </cell>
          <cell r="K435">
            <v>0</v>
          </cell>
          <cell r="L435">
            <v>2500</v>
          </cell>
          <cell r="M435">
            <v>0</v>
          </cell>
        </row>
        <row r="436">
          <cell r="A436">
            <v>287</v>
          </cell>
          <cell r="B436" t="str">
            <v>Subc.de pintura por pulverización  1,5mm</v>
          </cell>
          <cell r="C436" t="str">
            <v>m2</v>
          </cell>
          <cell r="D436">
            <v>195</v>
          </cell>
          <cell r="H436">
            <v>195</v>
          </cell>
          <cell r="I436">
            <v>0</v>
          </cell>
          <cell r="J436">
            <v>0</v>
          </cell>
          <cell r="K436">
            <v>0</v>
          </cell>
          <cell r="L436">
            <v>195</v>
          </cell>
          <cell r="M436" t="str">
            <v>sub</v>
          </cell>
        </row>
        <row r="437">
          <cell r="A437">
            <v>288</v>
          </cell>
          <cell r="B437" t="str">
            <v>Subc.de pintura por extrusión 3 mm</v>
          </cell>
          <cell r="C437" t="str">
            <v>m2</v>
          </cell>
          <cell r="D437">
            <v>455</v>
          </cell>
          <cell r="H437">
            <v>455</v>
          </cell>
          <cell r="I437">
            <v>0</v>
          </cell>
          <cell r="J437">
            <v>0</v>
          </cell>
          <cell r="K437">
            <v>0</v>
          </cell>
          <cell r="L437">
            <v>455</v>
          </cell>
          <cell r="M437" t="str">
            <v>sub</v>
          </cell>
        </row>
        <row r="438">
          <cell r="A438">
            <v>289</v>
          </cell>
          <cell r="B438" t="str">
            <v>Loseta premoldeada para cerramiento de vías</v>
          </cell>
          <cell r="C438" t="str">
            <v>N°</v>
          </cell>
          <cell r="D438">
            <v>100</v>
          </cell>
          <cell r="H438">
            <v>100</v>
          </cell>
          <cell r="I438">
            <v>0</v>
          </cell>
          <cell r="J438">
            <v>0</v>
          </cell>
          <cell r="K438">
            <v>0</v>
          </cell>
          <cell r="L438">
            <v>100</v>
          </cell>
          <cell r="M438" t="str">
            <v>h</v>
          </cell>
        </row>
        <row r="439">
          <cell r="A439">
            <v>290</v>
          </cell>
          <cell r="B439" t="str">
            <v xml:space="preserve">Conducto Galvanizado p/ tunel liner </v>
          </cell>
          <cell r="C439" t="str">
            <v>ml</v>
          </cell>
          <cell r="D439">
            <v>170</v>
          </cell>
          <cell r="H439">
            <v>170</v>
          </cell>
          <cell r="I439">
            <v>0</v>
          </cell>
          <cell r="J439">
            <v>0</v>
          </cell>
          <cell r="K439">
            <v>0</v>
          </cell>
          <cell r="L439">
            <v>170</v>
          </cell>
          <cell r="M439" t="str">
            <v>a</v>
          </cell>
        </row>
        <row r="440">
          <cell r="A440">
            <v>291</v>
          </cell>
          <cell r="B440" t="str">
            <v>Tubería PVC DN 315 clase 6</v>
          </cell>
          <cell r="C440" t="str">
            <v>Un</v>
          </cell>
          <cell r="D440">
            <v>2800</v>
          </cell>
          <cell r="H440">
            <v>2800</v>
          </cell>
          <cell r="I440">
            <v>0</v>
          </cell>
          <cell r="J440">
            <v>0</v>
          </cell>
          <cell r="K440">
            <v>0</v>
          </cell>
          <cell r="L440">
            <v>2800</v>
          </cell>
          <cell r="M440">
            <v>0</v>
          </cell>
        </row>
        <row r="441">
          <cell r="A441">
            <v>292</v>
          </cell>
          <cell r="B441" t="str">
            <v xml:space="preserve">Subcontrato Montaje de vigas </v>
          </cell>
          <cell r="C441" t="str">
            <v>gl</v>
          </cell>
          <cell r="D441">
            <v>2448000</v>
          </cell>
          <cell r="H441">
            <v>2448000</v>
          </cell>
          <cell r="I441">
            <v>0</v>
          </cell>
          <cell r="J441">
            <v>0</v>
          </cell>
          <cell r="K441">
            <v>0</v>
          </cell>
          <cell r="L441">
            <v>2448000</v>
          </cell>
          <cell r="M441" t="str">
            <v>sub</v>
          </cell>
        </row>
        <row r="442">
          <cell r="A442">
            <v>293</v>
          </cell>
          <cell r="B442" t="str">
            <v>Bombas flight s/pliego (Bombas)</v>
          </cell>
          <cell r="C442" t="str">
            <v>Un</v>
          </cell>
          <cell r="D442">
            <v>166400</v>
          </cell>
          <cell r="H442">
            <v>166400</v>
          </cell>
          <cell r="I442">
            <v>0</v>
          </cell>
          <cell r="J442">
            <v>0</v>
          </cell>
          <cell r="K442">
            <v>0</v>
          </cell>
          <cell r="L442">
            <v>166400</v>
          </cell>
          <cell r="M442">
            <v>0</v>
          </cell>
        </row>
        <row r="443">
          <cell r="A443">
            <v>294</v>
          </cell>
          <cell r="B443" t="str">
            <v>Grupo electrogeno 45kva-Cabinado y escape.resid.</v>
          </cell>
          <cell r="C443" t="str">
            <v>Un</v>
          </cell>
          <cell r="D443">
            <v>250000</v>
          </cell>
          <cell r="H443">
            <v>250000</v>
          </cell>
          <cell r="I443">
            <v>0</v>
          </cell>
          <cell r="J443">
            <v>0</v>
          </cell>
          <cell r="K443">
            <v>0</v>
          </cell>
          <cell r="L443">
            <v>250000</v>
          </cell>
          <cell r="M443">
            <v>0</v>
          </cell>
        </row>
        <row r="444">
          <cell r="A444">
            <v>295</v>
          </cell>
          <cell r="B444" t="str">
            <v>Subcont.Sist.C/Incendio c/hidrante y TK hidroneumático</v>
          </cell>
          <cell r="C444" t="str">
            <v>gl</v>
          </cell>
          <cell r="D444">
            <v>780000</v>
          </cell>
          <cell r="H444">
            <v>780000</v>
          </cell>
          <cell r="I444">
            <v>0</v>
          </cell>
          <cell r="J444">
            <v>0</v>
          </cell>
          <cell r="K444">
            <v>0</v>
          </cell>
          <cell r="L444">
            <v>780000</v>
          </cell>
          <cell r="M444" t="str">
            <v>sub</v>
          </cell>
        </row>
        <row r="445">
          <cell r="A445">
            <v>296</v>
          </cell>
          <cell r="B445" t="str">
            <v>Mat. p/ cableado de potencia</v>
          </cell>
          <cell r="C445" t="str">
            <v>gl</v>
          </cell>
          <cell r="D445">
            <v>30160</v>
          </cell>
          <cell r="H445">
            <v>30160</v>
          </cell>
          <cell r="I445">
            <v>0</v>
          </cell>
          <cell r="J445">
            <v>0</v>
          </cell>
          <cell r="K445">
            <v>0</v>
          </cell>
          <cell r="L445">
            <v>30160</v>
          </cell>
          <cell r="M445">
            <v>0</v>
          </cell>
        </row>
        <row r="446">
          <cell r="A446">
            <v>297</v>
          </cell>
          <cell r="B446" t="str">
            <v>Flotantes flight + cableado de control</v>
          </cell>
          <cell r="C446" t="str">
            <v>un</v>
          </cell>
          <cell r="D446">
            <v>2600</v>
          </cell>
          <cell r="H446">
            <v>2600</v>
          </cell>
          <cell r="I446">
            <v>0</v>
          </cell>
          <cell r="J446">
            <v>0</v>
          </cell>
          <cell r="K446">
            <v>0</v>
          </cell>
          <cell r="L446">
            <v>2600</v>
          </cell>
          <cell r="M446">
            <v>0</v>
          </cell>
        </row>
        <row r="447">
          <cell r="A447">
            <v>298</v>
          </cell>
          <cell r="B447" t="str">
            <v xml:space="preserve">Equipo electrónico </v>
          </cell>
          <cell r="C447" t="str">
            <v>Gl</v>
          </cell>
          <cell r="D447">
            <v>46800</v>
          </cell>
          <cell r="H447">
            <v>46800</v>
          </cell>
          <cell r="I447">
            <v>0</v>
          </cell>
          <cell r="J447">
            <v>0</v>
          </cell>
          <cell r="K447">
            <v>0</v>
          </cell>
          <cell r="L447">
            <v>46800</v>
          </cell>
          <cell r="M447">
            <v>0</v>
          </cell>
        </row>
        <row r="448">
          <cell r="A448">
            <v>299</v>
          </cell>
          <cell r="B448" t="str">
            <v>Válvula de retención    150mm</v>
          </cell>
          <cell r="C448" t="str">
            <v>un</v>
          </cell>
          <cell r="D448">
            <v>6000</v>
          </cell>
          <cell r="H448">
            <v>6000</v>
          </cell>
          <cell r="I448">
            <v>0</v>
          </cell>
          <cell r="J448">
            <v>0</v>
          </cell>
          <cell r="K448">
            <v>0</v>
          </cell>
          <cell r="L448">
            <v>6000</v>
          </cell>
          <cell r="M448">
            <v>0</v>
          </cell>
        </row>
        <row r="449">
          <cell r="A449">
            <v>300</v>
          </cell>
          <cell r="B449" t="str">
            <v>Válvula de exclusa con volante</v>
          </cell>
          <cell r="C449" t="str">
            <v>un</v>
          </cell>
          <cell r="D449">
            <v>5500</v>
          </cell>
          <cell r="H449">
            <v>5500</v>
          </cell>
          <cell r="I449">
            <v>0</v>
          </cell>
          <cell r="J449">
            <v>0</v>
          </cell>
          <cell r="K449">
            <v>0</v>
          </cell>
          <cell r="L449">
            <v>5500</v>
          </cell>
          <cell r="M449">
            <v>0</v>
          </cell>
        </row>
        <row r="450">
          <cell r="A450">
            <v>301</v>
          </cell>
          <cell r="B450" t="str">
            <v>Cerámica para mosaiquismo</v>
          </cell>
          <cell r="C450" t="str">
            <v>m2</v>
          </cell>
          <cell r="D450">
            <v>910</v>
          </cell>
          <cell r="H450">
            <v>910</v>
          </cell>
          <cell r="I450">
            <v>0</v>
          </cell>
          <cell r="J450">
            <v>0</v>
          </cell>
          <cell r="K450">
            <v>0</v>
          </cell>
          <cell r="L450">
            <v>910</v>
          </cell>
          <cell r="M450">
            <v>0</v>
          </cell>
        </row>
        <row r="451">
          <cell r="A451">
            <v>302</v>
          </cell>
          <cell r="B451" t="str">
            <v>Mezcla de asiento</v>
          </cell>
          <cell r="C451" t="str">
            <v>m3</v>
          </cell>
          <cell r="D451">
            <v>1300</v>
          </cell>
          <cell r="H451">
            <v>1300</v>
          </cell>
          <cell r="I451">
            <v>0</v>
          </cell>
          <cell r="J451">
            <v>0</v>
          </cell>
          <cell r="K451">
            <v>0</v>
          </cell>
          <cell r="L451">
            <v>1300</v>
          </cell>
          <cell r="M451">
            <v>0</v>
          </cell>
        </row>
        <row r="452">
          <cell r="A452">
            <v>303</v>
          </cell>
          <cell r="B452" t="str">
            <v>Cámara domo</v>
          </cell>
          <cell r="C452" t="str">
            <v>Un</v>
          </cell>
          <cell r="D452">
            <v>14000</v>
          </cell>
          <cell r="H452">
            <v>14000</v>
          </cell>
          <cell r="I452">
            <v>0</v>
          </cell>
          <cell r="J452">
            <v>0</v>
          </cell>
          <cell r="K452">
            <v>0</v>
          </cell>
          <cell r="L452">
            <v>14000</v>
          </cell>
          <cell r="M452">
            <v>0</v>
          </cell>
        </row>
        <row r="453">
          <cell r="A453">
            <v>304</v>
          </cell>
          <cell r="B453" t="str">
            <v>Cámara fija</v>
          </cell>
          <cell r="C453" t="str">
            <v>Un</v>
          </cell>
          <cell r="D453">
            <v>11046.6</v>
          </cell>
          <cell r="H453">
            <v>11046.6</v>
          </cell>
          <cell r="I453">
            <v>0</v>
          </cell>
          <cell r="J453">
            <v>0</v>
          </cell>
          <cell r="K453">
            <v>0</v>
          </cell>
          <cell r="L453">
            <v>11046.6</v>
          </cell>
          <cell r="M453">
            <v>0</v>
          </cell>
        </row>
        <row r="454">
          <cell r="A454">
            <v>305</v>
          </cell>
          <cell r="B454" t="str">
            <v>Rejas para pozo de bombeo sep. 50 mm</v>
          </cell>
          <cell r="C454" t="str">
            <v>gl</v>
          </cell>
          <cell r="D454">
            <v>6500</v>
          </cell>
          <cell r="H454">
            <v>6500</v>
          </cell>
          <cell r="I454">
            <v>0</v>
          </cell>
          <cell r="J454">
            <v>0</v>
          </cell>
          <cell r="K454">
            <v>0</v>
          </cell>
          <cell r="L454">
            <v>6500</v>
          </cell>
          <cell r="M454" t="str">
            <v>a</v>
          </cell>
        </row>
        <row r="455">
          <cell r="A455">
            <v>306</v>
          </cell>
          <cell r="B455" t="str">
            <v>Materiales p/ Automatismo pozo bombeo</v>
          </cell>
          <cell r="C455" t="str">
            <v>gl</v>
          </cell>
          <cell r="D455">
            <v>36400</v>
          </cell>
          <cell r="H455">
            <v>36400</v>
          </cell>
          <cell r="I455">
            <v>0</v>
          </cell>
          <cell r="J455">
            <v>0</v>
          </cell>
          <cell r="K455">
            <v>0</v>
          </cell>
          <cell r="L455">
            <v>36400</v>
          </cell>
          <cell r="M455">
            <v>0</v>
          </cell>
        </row>
        <row r="456">
          <cell r="A456">
            <v>307</v>
          </cell>
          <cell r="B456" t="str">
            <v>Durmientes de H° 2,7 x 0,2 x 0,25</v>
          </cell>
          <cell r="C456" t="str">
            <v>Un</v>
          </cell>
          <cell r="D456">
            <v>635</v>
          </cell>
          <cell r="H456">
            <v>635</v>
          </cell>
          <cell r="I456">
            <v>0</v>
          </cell>
          <cell r="J456">
            <v>0</v>
          </cell>
          <cell r="K456">
            <v>0</v>
          </cell>
          <cell r="L456">
            <v>635</v>
          </cell>
          <cell r="M456" t="str">
            <v>h</v>
          </cell>
        </row>
        <row r="457">
          <cell r="A457">
            <v>308</v>
          </cell>
          <cell r="B457" t="str">
            <v xml:space="preserve">Riel </v>
          </cell>
          <cell r="C457" t="str">
            <v>kg</v>
          </cell>
          <cell r="D457">
            <v>13.5</v>
          </cell>
          <cell r="H457">
            <v>13.5</v>
          </cell>
          <cell r="I457">
            <v>0</v>
          </cell>
          <cell r="J457">
            <v>0</v>
          </cell>
          <cell r="K457">
            <v>0</v>
          </cell>
          <cell r="L457">
            <v>13.5</v>
          </cell>
          <cell r="M457" t="str">
            <v>a</v>
          </cell>
        </row>
        <row r="458">
          <cell r="A458">
            <v>309</v>
          </cell>
          <cell r="B458" t="str">
            <v>Balasto Ferroviario</v>
          </cell>
          <cell r="C458" t="str">
            <v>tn</v>
          </cell>
          <cell r="D458">
            <v>489</v>
          </cell>
          <cell r="H458">
            <v>752</v>
          </cell>
          <cell r="I458">
            <v>0</v>
          </cell>
          <cell r="J458">
            <v>0</v>
          </cell>
          <cell r="K458">
            <v>0</v>
          </cell>
          <cell r="L458">
            <v>752</v>
          </cell>
          <cell r="M458">
            <v>0</v>
          </cell>
        </row>
        <row r="459">
          <cell r="A459">
            <v>310</v>
          </cell>
          <cell r="B459" t="str">
            <v>Fijación Pandrol completa (par)</v>
          </cell>
          <cell r="C459" t="str">
            <v>Un</v>
          </cell>
          <cell r="D459">
            <v>298</v>
          </cell>
          <cell r="H459">
            <v>298</v>
          </cell>
          <cell r="I459">
            <v>0</v>
          </cell>
          <cell r="J459">
            <v>0</v>
          </cell>
          <cell r="K459">
            <v>0</v>
          </cell>
          <cell r="L459">
            <v>298</v>
          </cell>
          <cell r="M459">
            <v>0</v>
          </cell>
        </row>
        <row r="460">
          <cell r="A460">
            <v>311</v>
          </cell>
          <cell r="B460" t="str">
            <v>Soldadura aluminotérmica</v>
          </cell>
          <cell r="C460" t="str">
            <v>Un</v>
          </cell>
          <cell r="D460">
            <v>3000</v>
          </cell>
          <cell r="H460">
            <v>3000</v>
          </cell>
          <cell r="I460">
            <v>0</v>
          </cell>
          <cell r="J460">
            <v>0</v>
          </cell>
          <cell r="K460">
            <v>0</v>
          </cell>
          <cell r="L460">
            <v>3000</v>
          </cell>
          <cell r="M460">
            <v>0</v>
          </cell>
        </row>
        <row r="461">
          <cell r="A461">
            <v>312</v>
          </cell>
          <cell r="B461" t="str">
            <v>Banco macetero 2,80x0,80x0,45 m</v>
          </cell>
          <cell r="C461" t="str">
            <v>Un</v>
          </cell>
          <cell r="D461">
            <v>6500</v>
          </cell>
          <cell r="H461">
            <v>6500</v>
          </cell>
          <cell r="I461">
            <v>0</v>
          </cell>
          <cell r="J461">
            <v>0</v>
          </cell>
          <cell r="K461">
            <v>0</v>
          </cell>
          <cell r="L461">
            <v>6500</v>
          </cell>
          <cell r="M461">
            <v>0</v>
          </cell>
        </row>
        <row r="462">
          <cell r="A462">
            <v>313</v>
          </cell>
          <cell r="B462" t="str">
            <v>Banco macetero 1,60x0,80x0,45 m</v>
          </cell>
          <cell r="C462" t="str">
            <v>Un</v>
          </cell>
          <cell r="D462">
            <v>5109</v>
          </cell>
          <cell r="H462">
            <v>5109</v>
          </cell>
          <cell r="I462">
            <v>0</v>
          </cell>
          <cell r="J462">
            <v>0</v>
          </cell>
          <cell r="K462">
            <v>0</v>
          </cell>
          <cell r="L462">
            <v>5109</v>
          </cell>
          <cell r="M462">
            <v>0</v>
          </cell>
        </row>
        <row r="463">
          <cell r="A463">
            <v>313.10000000000002</v>
          </cell>
          <cell r="B463" t="str">
            <v>Movilizacion  de  obra</v>
          </cell>
          <cell r="C463" t="str">
            <v>gl</v>
          </cell>
          <cell r="D463">
            <v>3690705.6</v>
          </cell>
          <cell r="H463">
            <v>3690705.6</v>
          </cell>
          <cell r="I463">
            <v>0</v>
          </cell>
          <cell r="J463">
            <v>0</v>
          </cell>
          <cell r="K463">
            <v>0</v>
          </cell>
          <cell r="L463">
            <v>3690705.6</v>
          </cell>
        </row>
        <row r="464">
          <cell r="A464">
            <v>313.2</v>
          </cell>
          <cell r="B464" t="str">
            <v>asesores  externos</v>
          </cell>
          <cell r="C464" t="str">
            <v>gl</v>
          </cell>
          <cell r="D464">
            <v>240000</v>
          </cell>
          <cell r="H464">
            <v>240000</v>
          </cell>
          <cell r="I464">
            <v>0</v>
          </cell>
          <cell r="J464">
            <v>0</v>
          </cell>
          <cell r="K464">
            <v>0</v>
          </cell>
          <cell r="L464">
            <v>240000</v>
          </cell>
        </row>
        <row r="465">
          <cell r="A465">
            <v>313.3</v>
          </cell>
          <cell r="B465" t="str">
            <v>Equipamiento  para  oficina  de  inspeccion  de  obra</v>
          </cell>
          <cell r="C465" t="str">
            <v>gl</v>
          </cell>
          <cell r="D465">
            <v>1285177.2</v>
          </cell>
          <cell r="H465">
            <v>1285177.2</v>
          </cell>
          <cell r="I465">
            <v>0</v>
          </cell>
          <cell r="J465">
            <v>0</v>
          </cell>
          <cell r="K465">
            <v>0</v>
          </cell>
          <cell r="L465">
            <v>1285177.2</v>
          </cell>
        </row>
        <row r="466">
          <cell r="A466">
            <v>313.39999999999998</v>
          </cell>
          <cell r="B466" t="str">
            <v>Vigilancia, alumbrado y  seguridad  en  la  Obra</v>
          </cell>
          <cell r="C466" t="str">
            <v>gl</v>
          </cell>
          <cell r="D466">
            <v>2912332.96</v>
          </cell>
          <cell r="H466">
            <v>2912332.96</v>
          </cell>
          <cell r="I466">
            <v>0</v>
          </cell>
          <cell r="J466">
            <v>0</v>
          </cell>
          <cell r="K466">
            <v>0</v>
          </cell>
          <cell r="L466">
            <v>2912332.96</v>
          </cell>
        </row>
        <row r="467">
          <cell r="A467">
            <v>313.5</v>
          </cell>
          <cell r="B467" t="str">
            <v>prestaciones  en  areas de  influencia  de  obra</v>
          </cell>
          <cell r="C467" t="str">
            <v>gl</v>
          </cell>
          <cell r="D467">
            <v>680000</v>
          </cell>
          <cell r="H467">
            <v>680000</v>
          </cell>
          <cell r="I467">
            <v>0</v>
          </cell>
          <cell r="J467">
            <v>0</v>
          </cell>
          <cell r="K467">
            <v>0</v>
          </cell>
          <cell r="L467">
            <v>680000</v>
          </cell>
        </row>
        <row r="468">
          <cell r="A468">
            <v>313.60000000000002</v>
          </cell>
          <cell r="B468" t="str">
            <v>Proyecto ejecutivo de  contruccion e ing.de  Detalle</v>
          </cell>
          <cell r="C468" t="str">
            <v>gl</v>
          </cell>
          <cell r="D468">
            <v>954000</v>
          </cell>
          <cell r="H468">
            <v>954000</v>
          </cell>
          <cell r="I468">
            <v>0</v>
          </cell>
          <cell r="J468">
            <v>0</v>
          </cell>
          <cell r="K468">
            <v>0</v>
          </cell>
          <cell r="L468">
            <v>954000</v>
          </cell>
        </row>
        <row r="469">
          <cell r="A469">
            <v>313.7</v>
          </cell>
          <cell r="B469" t="str">
            <v>Mantenimiento  de  Obrador</v>
          </cell>
          <cell r="C469" t="str">
            <v>gl</v>
          </cell>
          <cell r="D469">
            <v>126546.5</v>
          </cell>
          <cell r="H469">
            <v>126546.5</v>
          </cell>
          <cell r="I469">
            <v>0</v>
          </cell>
          <cell r="J469">
            <v>0</v>
          </cell>
          <cell r="K469">
            <v>0</v>
          </cell>
          <cell r="L469">
            <v>126546.5</v>
          </cell>
        </row>
        <row r="470">
          <cell r="A470">
            <v>313.8</v>
          </cell>
          <cell r="B470" t="str">
            <v>Replanteo, nivelacion, Sondeos</v>
          </cell>
          <cell r="C470" t="str">
            <v>gl</v>
          </cell>
          <cell r="D470">
            <v>512050.7</v>
          </cell>
          <cell r="H470">
            <v>512050.7</v>
          </cell>
          <cell r="I470">
            <v>0</v>
          </cell>
          <cell r="J470">
            <v>0</v>
          </cell>
          <cell r="K470">
            <v>0</v>
          </cell>
          <cell r="L470">
            <v>512050.7</v>
          </cell>
        </row>
        <row r="471">
          <cell r="A471">
            <v>313.89999999999998</v>
          </cell>
          <cell r="B471" t="str">
            <v>Vigas principales H-38 Provision y  Montaje</v>
          </cell>
          <cell r="C471" t="str">
            <v>gl</v>
          </cell>
          <cell r="D471" t="e">
            <v>#REF!</v>
          </cell>
          <cell r="H471" t="e">
            <v>#REF!</v>
          </cell>
          <cell r="I471">
            <v>0</v>
          </cell>
          <cell r="J471">
            <v>0</v>
          </cell>
          <cell r="K471">
            <v>0</v>
          </cell>
          <cell r="L471" t="e">
            <v>#REF!</v>
          </cell>
        </row>
        <row r="472">
          <cell r="A472">
            <v>313.11</v>
          </cell>
          <cell r="B472" t="str">
            <v>clavos  punta  paris</v>
          </cell>
          <cell r="C472" t="str">
            <v>kg</v>
          </cell>
          <cell r="D472">
            <v>22</v>
          </cell>
          <cell r="H472">
            <v>22</v>
          </cell>
          <cell r="I472">
            <v>0</v>
          </cell>
          <cell r="J472">
            <v>0</v>
          </cell>
          <cell r="K472">
            <v>0</v>
          </cell>
          <cell r="L472">
            <v>22</v>
          </cell>
        </row>
        <row r="473">
          <cell r="A473">
            <v>313.12</v>
          </cell>
          <cell r="B473" t="str">
            <v>fenolico  laminado y  tirante  3x3</v>
          </cell>
          <cell r="C473" t="str">
            <v>m2</v>
          </cell>
          <cell r="D473">
            <v>362</v>
          </cell>
          <cell r="H473">
            <v>362</v>
          </cell>
          <cell r="I473">
            <v>0</v>
          </cell>
          <cell r="J473">
            <v>0</v>
          </cell>
          <cell r="K473">
            <v>0</v>
          </cell>
          <cell r="L473">
            <v>362</v>
          </cell>
        </row>
        <row r="474">
          <cell r="A474">
            <v>313.13</v>
          </cell>
          <cell r="B474" t="str">
            <v>desencofrante  p/madera</v>
          </cell>
          <cell r="C474" t="str">
            <v>Lts</v>
          </cell>
          <cell r="D474">
            <v>42</v>
          </cell>
          <cell r="H474">
            <v>42</v>
          </cell>
          <cell r="I474">
            <v>0</v>
          </cell>
          <cell r="J474">
            <v>0</v>
          </cell>
          <cell r="K474">
            <v>0</v>
          </cell>
          <cell r="L474">
            <v>42</v>
          </cell>
        </row>
        <row r="475">
          <cell r="A475">
            <v>313.14</v>
          </cell>
          <cell r="B475" t="str">
            <v>desencofrante  p/metal</v>
          </cell>
          <cell r="C475" t="str">
            <v>lts</v>
          </cell>
          <cell r="D475">
            <v>35</v>
          </cell>
          <cell r="H475">
            <v>35</v>
          </cell>
          <cell r="I475">
            <v>0</v>
          </cell>
          <cell r="J475">
            <v>0</v>
          </cell>
          <cell r="K475">
            <v>0</v>
          </cell>
          <cell r="L475">
            <v>35</v>
          </cell>
        </row>
        <row r="476">
          <cell r="A476">
            <v>313.14999999999998</v>
          </cell>
          <cell r="B476" t="str">
            <v>antisol base solvente</v>
          </cell>
          <cell r="C476" t="str">
            <v>Lts</v>
          </cell>
          <cell r="D476">
            <v>56.5</v>
          </cell>
          <cell r="H476">
            <v>56.5</v>
          </cell>
          <cell r="I476">
            <v>0</v>
          </cell>
          <cell r="J476">
            <v>0</v>
          </cell>
          <cell r="K476">
            <v>0</v>
          </cell>
          <cell r="L476">
            <v>56.5</v>
          </cell>
        </row>
        <row r="477">
          <cell r="A477">
            <v>313.16000000000003</v>
          </cell>
          <cell r="B477" t="str">
            <v>antisol base acuosa</v>
          </cell>
          <cell r="C477" t="str">
            <v>Lts</v>
          </cell>
          <cell r="D477">
            <v>18.100000000000001</v>
          </cell>
          <cell r="H477">
            <v>18.100000000000001</v>
          </cell>
          <cell r="I477">
            <v>0</v>
          </cell>
          <cell r="J477">
            <v>0</v>
          </cell>
          <cell r="K477">
            <v>0</v>
          </cell>
          <cell r="L477">
            <v>18.100000000000001</v>
          </cell>
        </row>
        <row r="478">
          <cell r="A478">
            <v>313.17</v>
          </cell>
          <cell r="B478" t="str">
            <v>Nivelacion  con  equipo  mecanizado  pesado</v>
          </cell>
          <cell r="C478" t="str">
            <v>m</v>
          </cell>
          <cell r="D478">
            <v>1573</v>
          </cell>
          <cell r="H478">
            <v>1573</v>
          </cell>
          <cell r="I478">
            <v>0</v>
          </cell>
          <cell r="J478">
            <v>0</v>
          </cell>
          <cell r="K478">
            <v>0</v>
          </cell>
          <cell r="L478">
            <v>1573</v>
          </cell>
        </row>
        <row r="479">
          <cell r="A479">
            <v>313.18</v>
          </cell>
          <cell r="B479" t="str">
            <v>H° RM20/Auto/PP6-20 Resist. 10hrs.</v>
          </cell>
          <cell r="C479" t="str">
            <v>m3</v>
          </cell>
          <cell r="D479">
            <v>2885</v>
          </cell>
          <cell r="H479">
            <v>2885</v>
          </cell>
          <cell r="I479">
            <v>0</v>
          </cell>
          <cell r="J479">
            <v>0</v>
          </cell>
          <cell r="K479">
            <v>0</v>
          </cell>
          <cell r="L479">
            <v>2885</v>
          </cell>
        </row>
        <row r="480">
          <cell r="A480">
            <v>313.19</v>
          </cell>
          <cell r="B480" t="str">
            <v>Desmovilizacion    de  obra</v>
          </cell>
          <cell r="C480" t="str">
            <v>gl</v>
          </cell>
          <cell r="D480">
            <v>212630</v>
          </cell>
          <cell r="H480">
            <v>212630</v>
          </cell>
          <cell r="I480">
            <v>0</v>
          </cell>
          <cell r="J480">
            <v>0</v>
          </cell>
          <cell r="K480">
            <v>0</v>
          </cell>
          <cell r="L480">
            <v>212630</v>
          </cell>
        </row>
        <row r="481">
          <cell r="A481">
            <v>313.20999999999998</v>
          </cell>
          <cell r="B481" t="str">
            <v>Mantenimiento  de  transito  vehicular  y  peatonal</v>
          </cell>
          <cell r="C481" t="str">
            <v>gl</v>
          </cell>
          <cell r="D481">
            <v>2334800.5</v>
          </cell>
          <cell r="H481">
            <v>2334800.5</v>
          </cell>
          <cell r="I481">
            <v>0</v>
          </cell>
          <cell r="J481">
            <v>0</v>
          </cell>
          <cell r="K481">
            <v>0</v>
          </cell>
          <cell r="L481">
            <v>2334800.5</v>
          </cell>
        </row>
        <row r="482">
          <cell r="A482">
            <v>313.22000000000003</v>
          </cell>
          <cell r="B482" t="str">
            <v>Cerco  de  obra  y  vallado  de  seguridad</v>
          </cell>
          <cell r="C482" t="str">
            <v>gl</v>
          </cell>
          <cell r="D482">
            <v>1762960.2244444443</v>
          </cell>
          <cell r="H482">
            <v>1762960.22</v>
          </cell>
          <cell r="I482">
            <v>0</v>
          </cell>
          <cell r="J482">
            <v>0</v>
          </cell>
          <cell r="K482">
            <v>0</v>
          </cell>
          <cell r="L482">
            <v>1762960.22</v>
          </cell>
        </row>
        <row r="483">
          <cell r="A483">
            <v>313.23</v>
          </cell>
          <cell r="B483" t="str">
            <v xml:space="preserve">Membrana  Geodrenante </v>
          </cell>
          <cell r="C483" t="str">
            <v>m2</v>
          </cell>
          <cell r="D483">
            <v>91.800000000000011</v>
          </cell>
          <cell r="H483">
            <v>91.8</v>
          </cell>
          <cell r="I483">
            <v>0</v>
          </cell>
          <cell r="J483">
            <v>0</v>
          </cell>
          <cell r="K483">
            <v>0</v>
          </cell>
          <cell r="L483">
            <v>91.8</v>
          </cell>
        </row>
        <row r="484">
          <cell r="A484">
            <v>313.24</v>
          </cell>
          <cell r="B484" t="str">
            <v>junta  water  stop</v>
          </cell>
          <cell r="C484" t="str">
            <v>ml</v>
          </cell>
          <cell r="D484">
            <v>260.10000000000002</v>
          </cell>
          <cell r="H484">
            <v>260.10000000000002</v>
          </cell>
          <cell r="I484">
            <v>0</v>
          </cell>
          <cell r="J484">
            <v>0</v>
          </cell>
          <cell r="K484">
            <v>0</v>
          </cell>
          <cell r="L484">
            <v>260.10000000000002</v>
          </cell>
        </row>
        <row r="485">
          <cell r="A485">
            <v>313.25</v>
          </cell>
          <cell r="B485" t="str">
            <v>Subcontrato  ejecucion  de  pilotes Ø 1,40m</v>
          </cell>
          <cell r="C485" t="str">
            <v>ml</v>
          </cell>
          <cell r="D485">
            <v>2120</v>
          </cell>
          <cell r="H485">
            <v>2120</v>
          </cell>
          <cell r="I485">
            <v>0</v>
          </cell>
          <cell r="J485">
            <v>0</v>
          </cell>
          <cell r="K485">
            <v>0</v>
          </cell>
          <cell r="L485">
            <v>2120</v>
          </cell>
        </row>
        <row r="486">
          <cell r="A486">
            <v>313.26</v>
          </cell>
          <cell r="B486" t="str">
            <v>Subcontrato  ejecucion  de  pilotes Ø 1,00m</v>
          </cell>
          <cell r="C486" t="str">
            <v>ml</v>
          </cell>
          <cell r="D486">
            <v>1120</v>
          </cell>
          <cell r="H486">
            <v>1120</v>
          </cell>
          <cell r="I486">
            <v>0</v>
          </cell>
          <cell r="J486">
            <v>0</v>
          </cell>
          <cell r="K486">
            <v>0</v>
          </cell>
          <cell r="L486">
            <v>1120</v>
          </cell>
        </row>
        <row r="487">
          <cell r="A487">
            <v>313.27</v>
          </cell>
          <cell r="B487" t="str">
            <v>Subcontrato  ejecucion  de  pilotes Ø 0,80m</v>
          </cell>
          <cell r="C487" t="str">
            <v>ml</v>
          </cell>
          <cell r="D487">
            <v>920</v>
          </cell>
          <cell r="H487">
            <v>920</v>
          </cell>
          <cell r="I487">
            <v>0</v>
          </cell>
          <cell r="J487">
            <v>0</v>
          </cell>
          <cell r="K487">
            <v>0</v>
          </cell>
          <cell r="L487">
            <v>920</v>
          </cell>
        </row>
        <row r="488">
          <cell r="A488">
            <v>313.27999999999997</v>
          </cell>
          <cell r="B488" t="str">
            <v>Subcontrato  ejecucion  de  pilotes Ø 0,60m</v>
          </cell>
          <cell r="C488" t="str">
            <v>ml</v>
          </cell>
          <cell r="D488">
            <v>740</v>
          </cell>
          <cell r="H488">
            <v>740</v>
          </cell>
          <cell r="I488">
            <v>0</v>
          </cell>
          <cell r="J488">
            <v>0</v>
          </cell>
          <cell r="K488">
            <v>0</v>
          </cell>
          <cell r="L488">
            <v>740</v>
          </cell>
        </row>
        <row r="489">
          <cell r="A489">
            <v>313.29000000000002</v>
          </cell>
          <cell r="B489" t="str">
            <v>Encofrado  metalico</v>
          </cell>
          <cell r="C489" t="str">
            <v>m2</v>
          </cell>
          <cell r="D489">
            <v>567.32399999999996</v>
          </cell>
          <cell r="H489">
            <v>567.32000000000005</v>
          </cell>
          <cell r="I489">
            <v>0</v>
          </cell>
          <cell r="J489">
            <v>0</v>
          </cell>
          <cell r="K489">
            <v>0</v>
          </cell>
          <cell r="L489">
            <v>567.32000000000005</v>
          </cell>
        </row>
        <row r="490">
          <cell r="A490">
            <v>313.31</v>
          </cell>
          <cell r="B490" t="str">
            <v>Servicio  de  ejecucion  de  Gunitado</v>
          </cell>
          <cell r="C490" t="str">
            <v>m2</v>
          </cell>
          <cell r="D490">
            <v>150</v>
          </cell>
          <cell r="H490">
            <v>150</v>
          </cell>
          <cell r="I490">
            <v>0</v>
          </cell>
          <cell r="J490">
            <v>0</v>
          </cell>
          <cell r="K490">
            <v>0</v>
          </cell>
          <cell r="L490">
            <v>150</v>
          </cell>
        </row>
        <row r="491">
          <cell r="A491">
            <v>313.32</v>
          </cell>
          <cell r="B491" t="str">
            <v>membrana  hidrofuga  comun</v>
          </cell>
          <cell r="C491" t="str">
            <v>m2</v>
          </cell>
          <cell r="D491">
            <v>160</v>
          </cell>
          <cell r="H491">
            <v>160</v>
          </cell>
          <cell r="I491">
            <v>0</v>
          </cell>
          <cell r="J491">
            <v>0</v>
          </cell>
          <cell r="K491">
            <v>0</v>
          </cell>
          <cell r="L491">
            <v>160</v>
          </cell>
        </row>
        <row r="492">
          <cell r="A492">
            <v>313.33</v>
          </cell>
          <cell r="B492" t="str">
            <v>plasticor</v>
          </cell>
          <cell r="C492" t="str">
            <v>bol</v>
          </cell>
          <cell r="D492">
            <v>75</v>
          </cell>
          <cell r="H492">
            <v>75</v>
          </cell>
          <cell r="I492">
            <v>0</v>
          </cell>
          <cell r="J492">
            <v>0</v>
          </cell>
          <cell r="K492">
            <v>0</v>
          </cell>
          <cell r="L492">
            <v>75</v>
          </cell>
        </row>
        <row r="493">
          <cell r="A493">
            <v>313.33999999999997</v>
          </cell>
          <cell r="B493" t="str">
            <v>Peaje  autopistas( promedio )</v>
          </cell>
          <cell r="C493" t="str">
            <v>m3</v>
          </cell>
          <cell r="D493">
            <v>34</v>
          </cell>
          <cell r="H493">
            <v>34</v>
          </cell>
          <cell r="I493">
            <v>0</v>
          </cell>
          <cell r="J493">
            <v>0</v>
          </cell>
          <cell r="K493">
            <v>0</v>
          </cell>
          <cell r="L493">
            <v>34</v>
          </cell>
        </row>
        <row r="494">
          <cell r="A494">
            <v>313.35000000000002</v>
          </cell>
          <cell r="B494" t="str">
            <v xml:space="preserve">Polietileno  </v>
          </cell>
          <cell r="C494" t="str">
            <v>m2</v>
          </cell>
          <cell r="D494">
            <v>8</v>
          </cell>
          <cell r="H494">
            <v>8</v>
          </cell>
          <cell r="I494">
            <v>0</v>
          </cell>
          <cell r="J494">
            <v>0</v>
          </cell>
          <cell r="K494">
            <v>0</v>
          </cell>
          <cell r="L494">
            <v>8</v>
          </cell>
        </row>
        <row r="495">
          <cell r="A495">
            <v>313.36</v>
          </cell>
          <cell r="B495" t="str">
            <v>Disco   de  corte</v>
          </cell>
          <cell r="C495" t="str">
            <v>un.</v>
          </cell>
          <cell r="D495">
            <v>7000</v>
          </cell>
          <cell r="H495">
            <v>7000</v>
          </cell>
          <cell r="I495">
            <v>0</v>
          </cell>
          <cell r="J495">
            <v>0</v>
          </cell>
          <cell r="K495">
            <v>0</v>
          </cell>
          <cell r="L495">
            <v>7000</v>
          </cell>
        </row>
        <row r="496">
          <cell r="A496">
            <v>313.37</v>
          </cell>
          <cell r="B496" t="str">
            <v>Subcontrato  de  pavimento H30</v>
          </cell>
          <cell r="C496" t="str">
            <v>m2</v>
          </cell>
          <cell r="D496">
            <v>223</v>
          </cell>
          <cell r="H496">
            <v>223</v>
          </cell>
          <cell r="I496">
            <v>0</v>
          </cell>
          <cell r="J496">
            <v>0</v>
          </cell>
          <cell r="K496">
            <v>0</v>
          </cell>
          <cell r="L496">
            <v>223</v>
          </cell>
        </row>
        <row r="497">
          <cell r="A497">
            <v>313.38</v>
          </cell>
          <cell r="B497" t="str">
            <v>Subcontrato  de  pavimento H13</v>
          </cell>
          <cell r="C497" t="str">
            <v>m2</v>
          </cell>
          <cell r="D497">
            <v>153</v>
          </cell>
          <cell r="H497">
            <v>153</v>
          </cell>
          <cell r="I497">
            <v>0</v>
          </cell>
          <cell r="J497">
            <v>0</v>
          </cell>
          <cell r="K497">
            <v>0</v>
          </cell>
          <cell r="L497">
            <v>153</v>
          </cell>
        </row>
        <row r="498">
          <cell r="A498">
            <v>313.39</v>
          </cell>
          <cell r="B498" t="str">
            <v>Subcontrato  cordon</v>
          </cell>
          <cell r="C498" t="str">
            <v>m</v>
          </cell>
          <cell r="D498">
            <v>82</v>
          </cell>
          <cell r="H498">
            <v>82</v>
          </cell>
          <cell r="I498">
            <v>0</v>
          </cell>
          <cell r="J498">
            <v>0</v>
          </cell>
          <cell r="K498">
            <v>0</v>
          </cell>
          <cell r="L498">
            <v>82</v>
          </cell>
        </row>
        <row r="499">
          <cell r="A499">
            <v>313.41000000000003</v>
          </cell>
          <cell r="B499" t="str">
            <v>Malla acero R188</v>
          </cell>
          <cell r="C499" t="str">
            <v>m2</v>
          </cell>
          <cell r="D499">
            <v>35</v>
          </cell>
          <cell r="H499">
            <v>35</v>
          </cell>
          <cell r="I499">
            <v>0</v>
          </cell>
          <cell r="J499">
            <v>0</v>
          </cell>
          <cell r="K499">
            <v>0</v>
          </cell>
          <cell r="L499">
            <v>35</v>
          </cell>
        </row>
        <row r="500">
          <cell r="A500">
            <v>313.42</v>
          </cell>
          <cell r="B500" t="str">
            <v>Columna  de  9m  c/un  brazo</v>
          </cell>
          <cell r="C500" t="str">
            <v>un</v>
          </cell>
          <cell r="D500">
            <v>4400</v>
          </cell>
          <cell r="H500">
            <v>4400</v>
          </cell>
          <cell r="I500">
            <v>0</v>
          </cell>
          <cell r="J500">
            <v>0</v>
          </cell>
          <cell r="K500">
            <v>0</v>
          </cell>
          <cell r="L500">
            <v>4400</v>
          </cell>
        </row>
        <row r="501">
          <cell r="A501">
            <v>313.43</v>
          </cell>
          <cell r="B501" t="str">
            <v>provision y montaje columna 3,5 mts</v>
          </cell>
          <cell r="C501" t="str">
            <v>un</v>
          </cell>
          <cell r="D501">
            <v>3960</v>
          </cell>
          <cell r="H501">
            <v>3960</v>
          </cell>
          <cell r="I501">
            <v>0</v>
          </cell>
          <cell r="J501">
            <v>0</v>
          </cell>
          <cell r="K501">
            <v>0</v>
          </cell>
          <cell r="L501">
            <v>3960</v>
          </cell>
        </row>
        <row r="502">
          <cell r="A502">
            <v>313.44</v>
          </cell>
          <cell r="B502" t="str">
            <v>green way ledgine</v>
          </cell>
          <cell r="C502" t="str">
            <v>un</v>
          </cell>
          <cell r="D502">
            <v>9100</v>
          </cell>
          <cell r="H502">
            <v>9100</v>
          </cell>
          <cell r="I502">
            <v>0</v>
          </cell>
          <cell r="J502">
            <v>0</v>
          </cell>
          <cell r="K502">
            <v>0</v>
          </cell>
          <cell r="L502">
            <v>9100</v>
          </cell>
        </row>
        <row r="503">
          <cell r="A503">
            <v>313.45</v>
          </cell>
          <cell r="B503" t="str">
            <v>green way ledgine</v>
          </cell>
          <cell r="C503" t="str">
            <v>un</v>
          </cell>
          <cell r="D503">
            <v>39</v>
          </cell>
          <cell r="H503">
            <v>39</v>
          </cell>
          <cell r="I503">
            <v>0</v>
          </cell>
          <cell r="J503">
            <v>0</v>
          </cell>
          <cell r="K503">
            <v>0</v>
          </cell>
          <cell r="L503">
            <v>39</v>
          </cell>
        </row>
        <row r="504">
          <cell r="A504">
            <v>313.45999999999998</v>
          </cell>
          <cell r="B504" t="str">
            <v>metronomis</v>
          </cell>
          <cell r="C504" t="str">
            <v>un</v>
          </cell>
          <cell r="D504">
            <v>4300</v>
          </cell>
          <cell r="H504">
            <v>4300</v>
          </cell>
          <cell r="I504">
            <v>0</v>
          </cell>
          <cell r="J504">
            <v>0</v>
          </cell>
          <cell r="K504">
            <v>0</v>
          </cell>
          <cell r="L504">
            <v>4300</v>
          </cell>
        </row>
        <row r="505">
          <cell r="A505">
            <v>313.47000000000003</v>
          </cell>
          <cell r="B505" t="str">
            <v>tablero</v>
          </cell>
          <cell r="C505" t="str">
            <v>un</v>
          </cell>
          <cell r="D505">
            <v>195000</v>
          </cell>
          <cell r="H505">
            <v>195000</v>
          </cell>
          <cell r="I505">
            <v>0</v>
          </cell>
          <cell r="J505">
            <v>0</v>
          </cell>
          <cell r="K505">
            <v>0</v>
          </cell>
          <cell r="L505">
            <v>195000</v>
          </cell>
        </row>
        <row r="506">
          <cell r="A506">
            <v>313.48</v>
          </cell>
          <cell r="B506" t="str">
            <v>conductores sintenax</v>
          </cell>
          <cell r="C506" t="str">
            <v>un</v>
          </cell>
          <cell r="D506">
            <v>36</v>
          </cell>
          <cell r="H506">
            <v>36</v>
          </cell>
          <cell r="I506">
            <v>0</v>
          </cell>
          <cell r="J506">
            <v>0</v>
          </cell>
          <cell r="K506">
            <v>0</v>
          </cell>
          <cell r="L506">
            <v>36</v>
          </cell>
        </row>
        <row r="507">
          <cell r="A507">
            <v>313.49</v>
          </cell>
          <cell r="B507" t="str">
            <v>puesta a tierra</v>
          </cell>
          <cell r="C507" t="str">
            <v>un</v>
          </cell>
          <cell r="D507">
            <v>1389</v>
          </cell>
          <cell r="H507">
            <v>1389</v>
          </cell>
          <cell r="I507">
            <v>0</v>
          </cell>
          <cell r="J507">
            <v>0</v>
          </cell>
          <cell r="K507">
            <v>0</v>
          </cell>
          <cell r="L507">
            <v>1389</v>
          </cell>
        </row>
        <row r="508">
          <cell r="A508">
            <v>313.51</v>
          </cell>
          <cell r="B508" t="str">
            <v>bolardos</v>
          </cell>
          <cell r="C508" t="str">
            <v>un</v>
          </cell>
          <cell r="D508">
            <v>2860</v>
          </cell>
          <cell r="H508">
            <v>2860</v>
          </cell>
          <cell r="I508">
            <v>0</v>
          </cell>
          <cell r="J508">
            <v>0</v>
          </cell>
          <cell r="K508">
            <v>0</v>
          </cell>
          <cell r="L508">
            <v>2860</v>
          </cell>
        </row>
        <row r="509">
          <cell r="A509">
            <v>313.52</v>
          </cell>
          <cell r="B509" t="str">
            <v>bolardos de H° Ø  0,25 m x 0,43 m</v>
          </cell>
          <cell r="C509" t="str">
            <v>un</v>
          </cell>
          <cell r="D509">
            <v>660</v>
          </cell>
          <cell r="H509">
            <v>660</v>
          </cell>
          <cell r="I509">
            <v>0</v>
          </cell>
          <cell r="J509">
            <v>0</v>
          </cell>
          <cell r="K509">
            <v>0</v>
          </cell>
          <cell r="L509">
            <v>660</v>
          </cell>
        </row>
        <row r="510">
          <cell r="A510">
            <v>313.52999999999997</v>
          </cell>
          <cell r="B510" t="str">
            <v>bolardos de H° Ø  0,16 m x 0,60 m</v>
          </cell>
          <cell r="C510" t="str">
            <v>un</v>
          </cell>
          <cell r="D510">
            <v>369</v>
          </cell>
          <cell r="H510">
            <v>369</v>
          </cell>
          <cell r="I510">
            <v>0</v>
          </cell>
          <cell r="J510">
            <v>0</v>
          </cell>
          <cell r="K510">
            <v>0</v>
          </cell>
          <cell r="L510">
            <v>369</v>
          </cell>
        </row>
        <row r="511">
          <cell r="A511">
            <v>313.54000000000002</v>
          </cell>
          <cell r="B511" t="str">
            <v>bloques  para  Cesped  H°   0,33 m x 0,33 m</v>
          </cell>
          <cell r="C511" t="str">
            <v>un</v>
          </cell>
          <cell r="D511">
            <v>30</v>
          </cell>
          <cell r="H511">
            <v>30</v>
          </cell>
          <cell r="I511">
            <v>0</v>
          </cell>
          <cell r="J511">
            <v>0</v>
          </cell>
          <cell r="K511">
            <v>0</v>
          </cell>
          <cell r="L511">
            <v>30</v>
          </cell>
        </row>
        <row r="512">
          <cell r="A512">
            <v>313.55</v>
          </cell>
          <cell r="B512" t="str">
            <v>Caño de  PVC  10´´</v>
          </cell>
          <cell r="C512" t="str">
            <v>ml</v>
          </cell>
          <cell r="D512">
            <v>31</v>
          </cell>
          <cell r="H512">
            <v>31</v>
          </cell>
          <cell r="I512">
            <v>0</v>
          </cell>
          <cell r="J512">
            <v>0</v>
          </cell>
          <cell r="K512">
            <v>0</v>
          </cell>
          <cell r="L512">
            <v>31</v>
          </cell>
        </row>
        <row r="513">
          <cell r="A513">
            <v>313.56</v>
          </cell>
          <cell r="B513" t="str">
            <v>Piedra   6/20</v>
          </cell>
          <cell r="C513" t="str">
            <v>m3</v>
          </cell>
          <cell r="D513">
            <v>700</v>
          </cell>
          <cell r="H513">
            <v>700</v>
          </cell>
          <cell r="I513">
            <v>0</v>
          </cell>
          <cell r="J513">
            <v>0</v>
          </cell>
          <cell r="K513">
            <v>0</v>
          </cell>
          <cell r="L513">
            <v>700</v>
          </cell>
        </row>
        <row r="514">
          <cell r="A514">
            <v>313.57</v>
          </cell>
          <cell r="B514" t="str">
            <v>Caño de  PVC  4´´</v>
          </cell>
          <cell r="C514" t="str">
            <v>ml</v>
          </cell>
          <cell r="D514">
            <v>50</v>
          </cell>
          <cell r="H514">
            <v>50</v>
          </cell>
          <cell r="I514">
            <v>0</v>
          </cell>
          <cell r="J514">
            <v>0</v>
          </cell>
          <cell r="K514">
            <v>0</v>
          </cell>
          <cell r="L514">
            <v>50</v>
          </cell>
        </row>
        <row r="515">
          <cell r="A515">
            <v>313.58</v>
          </cell>
          <cell r="B515" t="str">
            <v>Caño de  PVC  200 X 2,5 X 4M</v>
          </cell>
          <cell r="C515" t="str">
            <v>ml</v>
          </cell>
          <cell r="D515">
            <v>165</v>
          </cell>
          <cell r="H515">
            <v>165</v>
          </cell>
          <cell r="I515">
            <v>0</v>
          </cell>
          <cell r="J515">
            <v>0</v>
          </cell>
          <cell r="K515">
            <v>0</v>
          </cell>
          <cell r="L515">
            <v>165</v>
          </cell>
        </row>
        <row r="516">
          <cell r="A516">
            <v>313.58999999999997</v>
          </cell>
          <cell r="B516" t="str">
            <v>Caño  Tritubo</v>
          </cell>
          <cell r="C516" t="str">
            <v>ml</v>
          </cell>
          <cell r="D516">
            <v>65</v>
          </cell>
          <cell r="H516">
            <v>65</v>
          </cell>
          <cell r="I516">
            <v>0</v>
          </cell>
          <cell r="J516">
            <v>0</v>
          </cell>
          <cell r="K516">
            <v>0</v>
          </cell>
          <cell r="L516">
            <v>65</v>
          </cell>
        </row>
        <row r="517">
          <cell r="A517">
            <v>313.61</v>
          </cell>
          <cell r="B517" t="str">
            <v>Piedra   6/20</v>
          </cell>
          <cell r="C517" t="str">
            <v>m3</v>
          </cell>
          <cell r="D517">
            <v>850</v>
          </cell>
          <cell r="H517">
            <v>850</v>
          </cell>
          <cell r="I517">
            <v>0</v>
          </cell>
          <cell r="J517">
            <v>0</v>
          </cell>
          <cell r="K517">
            <v>0</v>
          </cell>
          <cell r="L517">
            <v>850</v>
          </cell>
        </row>
        <row r="518">
          <cell r="A518">
            <v>313.62</v>
          </cell>
          <cell r="B518" t="str">
            <v>Caño   estructural 80x40x2mm</v>
          </cell>
          <cell r="C518" t="str">
            <v>ml</v>
          </cell>
          <cell r="D518">
            <v>89</v>
          </cell>
          <cell r="H518">
            <v>89</v>
          </cell>
          <cell r="I518">
            <v>0</v>
          </cell>
          <cell r="J518">
            <v>0</v>
          </cell>
          <cell r="K518">
            <v>0</v>
          </cell>
          <cell r="L518">
            <v>89</v>
          </cell>
        </row>
        <row r="519">
          <cell r="A519">
            <v>313.63</v>
          </cell>
          <cell r="B519" t="str">
            <v>Caño   Sigas    termofusion  40mmx 4m</v>
          </cell>
          <cell r="C519" t="str">
            <v>ml</v>
          </cell>
          <cell r="D519">
            <v>120</v>
          </cell>
          <cell r="H519">
            <v>120</v>
          </cell>
          <cell r="I519">
            <v>0</v>
          </cell>
          <cell r="J519">
            <v>0</v>
          </cell>
          <cell r="K519">
            <v>0</v>
          </cell>
          <cell r="L519">
            <v>120</v>
          </cell>
        </row>
        <row r="520">
          <cell r="A520">
            <v>313.64</v>
          </cell>
          <cell r="B520" t="str">
            <v>alquiler  modulo  de  andamio</v>
          </cell>
          <cell r="C520" t="str">
            <v>mes</v>
          </cell>
          <cell r="D520">
            <v>1200</v>
          </cell>
          <cell r="H520">
            <v>1200</v>
          </cell>
          <cell r="I520">
            <v>0</v>
          </cell>
          <cell r="J520">
            <v>0</v>
          </cell>
          <cell r="K520">
            <v>0</v>
          </cell>
          <cell r="L520">
            <v>1200</v>
          </cell>
        </row>
        <row r="521">
          <cell r="A521">
            <v>313.64999999999998</v>
          </cell>
          <cell r="B521" t="str">
            <v>Camara Domo Ptz 700tvl Sony 360° 10x Sm</v>
          </cell>
          <cell r="C521" t="str">
            <v>un</v>
          </cell>
          <cell r="D521">
            <v>3700</v>
          </cell>
          <cell r="H521">
            <v>3700</v>
          </cell>
          <cell r="I521">
            <v>0</v>
          </cell>
          <cell r="J521">
            <v>0</v>
          </cell>
          <cell r="K521">
            <v>0</v>
          </cell>
          <cell r="L521">
            <v>3700</v>
          </cell>
        </row>
        <row r="522">
          <cell r="A522">
            <v>313.66000000000003</v>
          </cell>
          <cell r="B522" t="str">
            <v>Camara Domo Exterior Ptz 27x Zoom Pelco D 480tvl Seg.</v>
          </cell>
          <cell r="C522" t="str">
            <v>un</v>
          </cell>
          <cell r="D522">
            <v>45900</v>
          </cell>
          <cell r="H522">
            <v>45900</v>
          </cell>
          <cell r="I522">
            <v>0</v>
          </cell>
          <cell r="J522">
            <v>0</v>
          </cell>
          <cell r="K522">
            <v>0</v>
          </cell>
          <cell r="L522">
            <v>45900</v>
          </cell>
        </row>
        <row r="523">
          <cell r="A523">
            <v>313.67</v>
          </cell>
          <cell r="B523" t="str">
            <v xml:space="preserve">Camara Domo Hd Ip Exterior 960p Wifi 64gb Motor Ptz Full </v>
          </cell>
          <cell r="C523" t="str">
            <v>un</v>
          </cell>
          <cell r="D523">
            <v>8000</v>
          </cell>
          <cell r="H523">
            <v>8000</v>
          </cell>
          <cell r="I523">
            <v>0</v>
          </cell>
          <cell r="J523">
            <v>0</v>
          </cell>
          <cell r="K523">
            <v>0</v>
          </cell>
          <cell r="L523">
            <v>8000</v>
          </cell>
        </row>
        <row r="524">
          <cell r="A524">
            <v>313.68</v>
          </cell>
          <cell r="B524" t="str">
            <v xml:space="preserve">pintura  latex  exterior </v>
          </cell>
          <cell r="C524" t="str">
            <v>Lts</v>
          </cell>
          <cell r="D524">
            <v>50</v>
          </cell>
          <cell r="H524">
            <v>50</v>
          </cell>
          <cell r="I524">
            <v>0</v>
          </cell>
          <cell r="J524">
            <v>0</v>
          </cell>
          <cell r="K524">
            <v>0</v>
          </cell>
          <cell r="L524">
            <v>50</v>
          </cell>
        </row>
        <row r="525">
          <cell r="A525">
            <v>313.69</v>
          </cell>
          <cell r="B525" t="str">
            <v xml:space="preserve">Mosaiquismo  ,15x,15  </v>
          </cell>
          <cell r="C525" t="str">
            <v>un</v>
          </cell>
          <cell r="D525">
            <v>5</v>
          </cell>
          <cell r="H525">
            <v>5</v>
          </cell>
          <cell r="I525">
            <v>0</v>
          </cell>
          <cell r="J525">
            <v>0</v>
          </cell>
          <cell r="K525">
            <v>0</v>
          </cell>
          <cell r="L525">
            <v>5</v>
          </cell>
        </row>
        <row r="526">
          <cell r="A526">
            <v>313.70999999999998</v>
          </cell>
          <cell r="B526" t="str">
            <v>Teselas  de  vidrio 2x2cm</v>
          </cell>
          <cell r="C526" t="str">
            <v>m2</v>
          </cell>
          <cell r="D526">
            <v>1100</v>
          </cell>
          <cell r="H526">
            <v>1100</v>
          </cell>
          <cell r="I526">
            <v>0</v>
          </cell>
          <cell r="J526">
            <v>0</v>
          </cell>
          <cell r="K526">
            <v>0</v>
          </cell>
          <cell r="L526">
            <v>1100</v>
          </cell>
        </row>
        <row r="527">
          <cell r="A527">
            <v>313.72000000000003</v>
          </cell>
          <cell r="B527" t="str">
            <v>Pintura Vial  - Reflectiva - Con Microesferas X 4 Litros</v>
          </cell>
          <cell r="C527" t="str">
            <v>Lts</v>
          </cell>
          <cell r="D527">
            <v>250</v>
          </cell>
          <cell r="H527">
            <v>250</v>
          </cell>
          <cell r="I527">
            <v>0</v>
          </cell>
          <cell r="J527">
            <v>0</v>
          </cell>
          <cell r="K527">
            <v>0</v>
          </cell>
          <cell r="L527">
            <v>250</v>
          </cell>
        </row>
        <row r="528">
          <cell r="A528">
            <v>313.73</v>
          </cell>
          <cell r="B528" t="str">
            <v>Pintura Vial  - Reflectiva - Con Microesferas X 10 Litros</v>
          </cell>
          <cell r="C528" t="str">
            <v>Lts</v>
          </cell>
          <cell r="D528">
            <v>250</v>
          </cell>
          <cell r="H528">
            <v>250</v>
          </cell>
          <cell r="I528">
            <v>0</v>
          </cell>
          <cell r="J528">
            <v>0</v>
          </cell>
          <cell r="K528">
            <v>0</v>
          </cell>
          <cell r="L528">
            <v>250</v>
          </cell>
        </row>
        <row r="529">
          <cell r="A529">
            <v>313.74</v>
          </cell>
          <cell r="B529" t="str">
            <v>Pintura  Atermik Recubrimiento Atermico Reflectivo 20litros</v>
          </cell>
          <cell r="C529" t="str">
            <v>Lts</v>
          </cell>
          <cell r="D529">
            <v>85</v>
          </cell>
          <cell r="H529">
            <v>85</v>
          </cell>
          <cell r="I529">
            <v>0</v>
          </cell>
          <cell r="J529">
            <v>0</v>
          </cell>
          <cell r="K529">
            <v>0</v>
          </cell>
          <cell r="L529">
            <v>85</v>
          </cell>
        </row>
        <row r="530">
          <cell r="A530">
            <v>313.75</v>
          </cell>
          <cell r="B530" t="str">
            <v>Pintura Para Demarcacion Pavimento 4lt</v>
          </cell>
          <cell r="C530" t="str">
            <v>Lts</v>
          </cell>
          <cell r="D530">
            <v>140</v>
          </cell>
          <cell r="H530">
            <v>140</v>
          </cell>
          <cell r="I530">
            <v>0</v>
          </cell>
          <cell r="J530">
            <v>0</v>
          </cell>
          <cell r="K530">
            <v>0</v>
          </cell>
          <cell r="L530">
            <v>140</v>
          </cell>
        </row>
        <row r="531">
          <cell r="A531">
            <v>313.76</v>
          </cell>
          <cell r="B531" t="str">
            <v>asfalto  en  caliente</v>
          </cell>
          <cell r="C531" t="str">
            <v>tn</v>
          </cell>
          <cell r="D531">
            <v>310</v>
          </cell>
          <cell r="H531">
            <v>310</v>
          </cell>
          <cell r="I531">
            <v>0</v>
          </cell>
          <cell r="J531">
            <v>0</v>
          </cell>
          <cell r="K531">
            <v>0</v>
          </cell>
          <cell r="L531">
            <v>310</v>
          </cell>
        </row>
        <row r="532">
          <cell r="A532">
            <v>313.77</v>
          </cell>
          <cell r="B532" t="str">
            <v>Cinta De Señalización De Peligro - 80mm X 200m</v>
          </cell>
          <cell r="C532" t="str">
            <v>rollo</v>
          </cell>
          <cell r="D532">
            <v>35</v>
          </cell>
          <cell r="H532">
            <v>35</v>
          </cell>
          <cell r="I532">
            <v>0</v>
          </cell>
          <cell r="J532">
            <v>0</v>
          </cell>
          <cell r="K532">
            <v>0</v>
          </cell>
          <cell r="L532">
            <v>35</v>
          </cell>
        </row>
        <row r="533">
          <cell r="A533">
            <v>313.77999999999997</v>
          </cell>
          <cell r="B533" t="str">
            <v xml:space="preserve">remaches </v>
          </cell>
          <cell r="C533" t="str">
            <v>un,</v>
          </cell>
          <cell r="D533">
            <v>0.4</v>
          </cell>
          <cell r="H533">
            <v>0.4</v>
          </cell>
          <cell r="I533">
            <v>0</v>
          </cell>
          <cell r="J533">
            <v>0</v>
          </cell>
          <cell r="K533">
            <v>0</v>
          </cell>
          <cell r="L533">
            <v>0.4</v>
          </cell>
        </row>
        <row r="534">
          <cell r="A534">
            <v>313.79000000000002</v>
          </cell>
          <cell r="B534" t="str">
            <v>caño  estructural 50x50x2mm</v>
          </cell>
          <cell r="C534" t="str">
            <v>m</v>
          </cell>
          <cell r="D534">
            <v>155</v>
          </cell>
          <cell r="H534">
            <v>155</v>
          </cell>
          <cell r="I534">
            <v>0</v>
          </cell>
          <cell r="J534">
            <v>0</v>
          </cell>
          <cell r="K534">
            <v>0</v>
          </cell>
          <cell r="L534">
            <v>155</v>
          </cell>
        </row>
        <row r="535">
          <cell r="A535">
            <v>313.81</v>
          </cell>
          <cell r="B535" t="str">
            <v xml:space="preserve">malla cima  q92 </v>
          </cell>
          <cell r="C535" t="str">
            <v>m2</v>
          </cell>
          <cell r="D535">
            <v>25</v>
          </cell>
          <cell r="H535">
            <v>25</v>
          </cell>
          <cell r="I535">
            <v>0</v>
          </cell>
          <cell r="J535">
            <v>0</v>
          </cell>
          <cell r="K535">
            <v>0</v>
          </cell>
          <cell r="L535">
            <v>25</v>
          </cell>
        </row>
        <row r="536">
          <cell r="A536">
            <v>313.82</v>
          </cell>
          <cell r="B536" t="str">
            <v>chapa  dwg n° 25</v>
          </cell>
          <cell r="C536" t="str">
            <v>m2</v>
          </cell>
          <cell r="D536">
            <v>200</v>
          </cell>
          <cell r="H536">
            <v>200</v>
          </cell>
          <cell r="I536">
            <v>0</v>
          </cell>
          <cell r="J536">
            <v>0</v>
          </cell>
          <cell r="K536">
            <v>0</v>
          </cell>
          <cell r="L536">
            <v>200</v>
          </cell>
        </row>
        <row r="537">
          <cell r="A537">
            <v>313.83</v>
          </cell>
          <cell r="B537" t="str">
            <v>balde plastico</v>
          </cell>
          <cell r="C537" t="str">
            <v>un</v>
          </cell>
          <cell r="D537">
            <v>40</v>
          </cell>
          <cell r="H537">
            <v>40</v>
          </cell>
          <cell r="I537">
            <v>0</v>
          </cell>
          <cell r="J537">
            <v>0</v>
          </cell>
          <cell r="K537">
            <v>0</v>
          </cell>
          <cell r="L537">
            <v>40</v>
          </cell>
        </row>
        <row r="538">
          <cell r="A538">
            <v>313.83999999999997</v>
          </cell>
          <cell r="B538" t="str">
            <v>carteles  1,40x1,10m</v>
          </cell>
          <cell r="C538" t="str">
            <v>un</v>
          </cell>
          <cell r="D538">
            <v>10</v>
          </cell>
          <cell r="H538">
            <v>10</v>
          </cell>
          <cell r="I538">
            <v>0</v>
          </cell>
          <cell r="J538">
            <v>0</v>
          </cell>
          <cell r="K538">
            <v>0</v>
          </cell>
          <cell r="L538">
            <v>10</v>
          </cell>
        </row>
        <row r="539">
          <cell r="A539">
            <v>313.85000000000002</v>
          </cell>
          <cell r="B539" t="str">
            <v>new jersey de  plastico</v>
          </cell>
          <cell r="C539" t="str">
            <v>un</v>
          </cell>
          <cell r="D539">
            <v>1300</v>
          </cell>
          <cell r="H539">
            <v>1300</v>
          </cell>
          <cell r="I539">
            <v>0</v>
          </cell>
          <cell r="J539">
            <v>0</v>
          </cell>
          <cell r="K539">
            <v>0</v>
          </cell>
          <cell r="L539">
            <v>1300</v>
          </cell>
        </row>
        <row r="540">
          <cell r="A540">
            <v>313.86</v>
          </cell>
          <cell r="B540" t="str">
            <v>Sellador  al  agua</v>
          </cell>
          <cell r="C540" t="str">
            <v>Lts</v>
          </cell>
          <cell r="D540">
            <v>45</v>
          </cell>
          <cell r="H540">
            <v>45</v>
          </cell>
          <cell r="I540">
            <v>0</v>
          </cell>
          <cell r="J540">
            <v>0</v>
          </cell>
          <cell r="K540">
            <v>0</v>
          </cell>
          <cell r="L540">
            <v>45</v>
          </cell>
        </row>
        <row r="541">
          <cell r="A541">
            <v>313.87</v>
          </cell>
          <cell r="B541" t="str">
            <v>malla  plastica</v>
          </cell>
          <cell r="C541" t="str">
            <v>m2</v>
          </cell>
          <cell r="D541">
            <v>8</v>
          </cell>
          <cell r="H541">
            <v>8</v>
          </cell>
          <cell r="I541">
            <v>0</v>
          </cell>
          <cell r="J541">
            <v>0</v>
          </cell>
          <cell r="K541">
            <v>0</v>
          </cell>
          <cell r="L541">
            <v>8</v>
          </cell>
        </row>
        <row r="542">
          <cell r="A542">
            <v>313.88</v>
          </cell>
          <cell r="B542" t="str">
            <v>tortugones  de  H°  Premoldeados</v>
          </cell>
          <cell r="C542" t="str">
            <v>m</v>
          </cell>
          <cell r="D542">
            <v>135</v>
          </cell>
          <cell r="H542">
            <v>135</v>
          </cell>
          <cell r="I542">
            <v>0</v>
          </cell>
          <cell r="J542">
            <v>0</v>
          </cell>
          <cell r="K542">
            <v>0</v>
          </cell>
          <cell r="L542">
            <v>135</v>
          </cell>
        </row>
        <row r="543">
          <cell r="A543">
            <v>313.89</v>
          </cell>
          <cell r="B543" t="str">
            <v>carteles  redondos  diam 60cm</v>
          </cell>
          <cell r="C543" t="str">
            <v>un</v>
          </cell>
          <cell r="D543">
            <v>710</v>
          </cell>
          <cell r="H543">
            <v>710</v>
          </cell>
          <cell r="I543">
            <v>0</v>
          </cell>
          <cell r="J543">
            <v>0</v>
          </cell>
          <cell r="K543">
            <v>0</v>
          </cell>
          <cell r="L543">
            <v>710</v>
          </cell>
        </row>
        <row r="544">
          <cell r="A544">
            <v>313.91000000000003</v>
          </cell>
          <cell r="B544" t="str">
            <v xml:space="preserve">flechas  luminosas  </v>
          </cell>
          <cell r="C544" t="str">
            <v>un</v>
          </cell>
          <cell r="D544">
            <v>5120</v>
          </cell>
          <cell r="H544">
            <v>5120</v>
          </cell>
          <cell r="I544">
            <v>0</v>
          </cell>
          <cell r="J544">
            <v>0</v>
          </cell>
          <cell r="K544">
            <v>0</v>
          </cell>
          <cell r="L544">
            <v>5120</v>
          </cell>
        </row>
        <row r="545">
          <cell r="A545">
            <v>313.92</v>
          </cell>
          <cell r="B545" t="str">
            <v xml:space="preserve">semaforos  </v>
          </cell>
          <cell r="C545" t="str">
            <v>un</v>
          </cell>
          <cell r="D545">
            <v>48</v>
          </cell>
          <cell r="H545">
            <v>48</v>
          </cell>
          <cell r="I545">
            <v>0</v>
          </cell>
          <cell r="J545">
            <v>0</v>
          </cell>
          <cell r="K545">
            <v>0</v>
          </cell>
          <cell r="L545">
            <v>48</v>
          </cell>
        </row>
        <row r="546">
          <cell r="A546">
            <v>313.93</v>
          </cell>
          <cell r="B546" t="str">
            <v>cable   tipo  taller   2,5x3</v>
          </cell>
          <cell r="C546" t="str">
            <v>m</v>
          </cell>
          <cell r="D546">
            <v>12</v>
          </cell>
          <cell r="H546">
            <v>12</v>
          </cell>
          <cell r="I546">
            <v>0</v>
          </cell>
          <cell r="J546">
            <v>0</v>
          </cell>
          <cell r="K546">
            <v>0</v>
          </cell>
          <cell r="L546">
            <v>12</v>
          </cell>
        </row>
        <row r="547">
          <cell r="A547">
            <v>313.94</v>
          </cell>
          <cell r="B547" t="str">
            <v>lamparas</v>
          </cell>
          <cell r="C547" t="str">
            <v>un</v>
          </cell>
          <cell r="D547">
            <v>17</v>
          </cell>
          <cell r="H547">
            <v>17</v>
          </cell>
          <cell r="I547">
            <v>0</v>
          </cell>
          <cell r="J547">
            <v>0</v>
          </cell>
          <cell r="K547">
            <v>0</v>
          </cell>
          <cell r="L547">
            <v>17</v>
          </cell>
        </row>
        <row r="548">
          <cell r="A548">
            <v>313.95</v>
          </cell>
          <cell r="B548" t="str">
            <v>portalamparas</v>
          </cell>
          <cell r="C548" t="str">
            <v>un</v>
          </cell>
          <cell r="D548">
            <v>25</v>
          </cell>
          <cell r="H548">
            <v>25</v>
          </cell>
          <cell r="I548">
            <v>0</v>
          </cell>
          <cell r="J548">
            <v>0</v>
          </cell>
          <cell r="K548">
            <v>0</v>
          </cell>
          <cell r="L548">
            <v>25</v>
          </cell>
        </row>
        <row r="549">
          <cell r="A549">
            <v>313.95999999999998</v>
          </cell>
          <cell r="B549" t="str">
            <v>transformadores  220 a  12v</v>
          </cell>
          <cell r="C549" t="str">
            <v>un</v>
          </cell>
          <cell r="D549">
            <v>620</v>
          </cell>
          <cell r="H549">
            <v>620</v>
          </cell>
          <cell r="I549">
            <v>0</v>
          </cell>
          <cell r="J549">
            <v>0</v>
          </cell>
          <cell r="K549">
            <v>0</v>
          </cell>
          <cell r="L549">
            <v>620</v>
          </cell>
        </row>
        <row r="550">
          <cell r="A550">
            <v>313.97000000000003</v>
          </cell>
          <cell r="B550" t="str">
            <v>tableros</v>
          </cell>
          <cell r="C550" t="str">
            <v>un</v>
          </cell>
          <cell r="D550">
            <v>500</v>
          </cell>
          <cell r="H550">
            <v>500</v>
          </cell>
          <cell r="I550">
            <v>0</v>
          </cell>
          <cell r="J550">
            <v>0</v>
          </cell>
          <cell r="K550">
            <v>0</v>
          </cell>
          <cell r="L550">
            <v>500</v>
          </cell>
        </row>
        <row r="551">
          <cell r="A551">
            <v>313.98</v>
          </cell>
          <cell r="B551" t="str">
            <v>disyuntor   32 A</v>
          </cell>
          <cell r="C551" t="str">
            <v>un</v>
          </cell>
          <cell r="D551">
            <v>250</v>
          </cell>
          <cell r="H551">
            <v>250</v>
          </cell>
          <cell r="I551">
            <v>0</v>
          </cell>
          <cell r="J551">
            <v>0</v>
          </cell>
          <cell r="K551">
            <v>0</v>
          </cell>
          <cell r="L551">
            <v>250</v>
          </cell>
        </row>
        <row r="552">
          <cell r="A552">
            <v>313.99</v>
          </cell>
          <cell r="B552" t="str">
            <v>tomas  industriales</v>
          </cell>
          <cell r="C552" t="str">
            <v>un</v>
          </cell>
          <cell r="D552">
            <v>110</v>
          </cell>
          <cell r="H552">
            <v>110</v>
          </cell>
          <cell r="I552">
            <v>0</v>
          </cell>
          <cell r="J552">
            <v>0</v>
          </cell>
          <cell r="K552">
            <v>0</v>
          </cell>
          <cell r="L552">
            <v>110</v>
          </cell>
        </row>
        <row r="553">
          <cell r="A553">
            <v>313.99099999999999</v>
          </cell>
          <cell r="B553" t="str">
            <v>llave  termica</v>
          </cell>
          <cell r="C553" t="str">
            <v>un</v>
          </cell>
          <cell r="D553">
            <v>110</v>
          </cell>
          <cell r="H553">
            <v>110</v>
          </cell>
          <cell r="I553">
            <v>0</v>
          </cell>
          <cell r="J553">
            <v>0</v>
          </cell>
          <cell r="K553">
            <v>0</v>
          </cell>
          <cell r="L553">
            <v>110</v>
          </cell>
        </row>
        <row r="554">
          <cell r="A554">
            <v>313.99200000000002</v>
          </cell>
          <cell r="B554" t="str">
            <v>cono   de  80cm</v>
          </cell>
          <cell r="C554" t="str">
            <v>un</v>
          </cell>
          <cell r="D554">
            <v>230</v>
          </cell>
          <cell r="H554">
            <v>230</v>
          </cell>
          <cell r="I554">
            <v>0</v>
          </cell>
          <cell r="J554">
            <v>0</v>
          </cell>
          <cell r="K554">
            <v>0</v>
          </cell>
          <cell r="L554">
            <v>230</v>
          </cell>
        </row>
        <row r="555">
          <cell r="A555">
            <v>313.99299999999999</v>
          </cell>
          <cell r="B555" t="str">
            <v>tambores  de  plastico</v>
          </cell>
          <cell r="C555" t="str">
            <v>un</v>
          </cell>
          <cell r="D555">
            <v>270</v>
          </cell>
          <cell r="H555">
            <v>270</v>
          </cell>
          <cell r="I555">
            <v>0</v>
          </cell>
          <cell r="J555">
            <v>0</v>
          </cell>
          <cell r="K555">
            <v>0</v>
          </cell>
          <cell r="L555">
            <v>270</v>
          </cell>
        </row>
        <row r="556">
          <cell r="A556">
            <v>313.99400000000003</v>
          </cell>
          <cell r="B556" t="str">
            <v>porton  metalico  corredizo</v>
          </cell>
          <cell r="C556" t="str">
            <v>un</v>
          </cell>
          <cell r="D556">
            <v>35000</v>
          </cell>
          <cell r="H556">
            <v>35000</v>
          </cell>
          <cell r="I556">
            <v>0</v>
          </cell>
          <cell r="J556">
            <v>0</v>
          </cell>
          <cell r="K556">
            <v>0</v>
          </cell>
          <cell r="L556">
            <v>35000</v>
          </cell>
        </row>
        <row r="557">
          <cell r="A557">
            <v>313.995</v>
          </cell>
          <cell r="B557" t="str">
            <v>perfil   doble  T</v>
          </cell>
          <cell r="C557" t="str">
            <v>un</v>
          </cell>
          <cell r="D557">
            <v>3800</v>
          </cell>
          <cell r="H557">
            <v>3800</v>
          </cell>
          <cell r="I557">
            <v>0</v>
          </cell>
          <cell r="J557">
            <v>0</v>
          </cell>
          <cell r="K557">
            <v>0</v>
          </cell>
          <cell r="L557">
            <v>3800</v>
          </cell>
        </row>
        <row r="558">
          <cell r="A558">
            <v>313.99599999999998</v>
          </cell>
          <cell r="B558" t="str">
            <v>grouting  bol 30  kg.</v>
          </cell>
          <cell r="C558" t="str">
            <v>bol.</v>
          </cell>
          <cell r="D558">
            <v>183</v>
          </cell>
          <cell r="H558">
            <v>183</v>
          </cell>
          <cell r="I558">
            <v>0</v>
          </cell>
          <cell r="J558">
            <v>0</v>
          </cell>
          <cell r="K558">
            <v>0</v>
          </cell>
          <cell r="L558">
            <v>183</v>
          </cell>
        </row>
        <row r="559">
          <cell r="A559">
            <v>313.99700000000001</v>
          </cell>
          <cell r="B559" t="str">
            <v xml:space="preserve">mortero   hidrofugo   </v>
          </cell>
          <cell r="C559" t="str">
            <v>kg</v>
          </cell>
          <cell r="D559">
            <v>21</v>
          </cell>
          <cell r="H559">
            <v>21</v>
          </cell>
          <cell r="I559">
            <v>0</v>
          </cell>
          <cell r="J559">
            <v>0</v>
          </cell>
          <cell r="K559">
            <v>0</v>
          </cell>
          <cell r="L559">
            <v>21</v>
          </cell>
        </row>
        <row r="560">
          <cell r="A560">
            <v>313.99799999999999</v>
          </cell>
          <cell r="B560" t="str">
            <v>membrana  de  drenaje  geocompuesto  MC DRAIN 2L</v>
          </cell>
          <cell r="C560" t="str">
            <v>m2</v>
          </cell>
          <cell r="D560">
            <v>114.13800000000001</v>
          </cell>
          <cell r="H560">
            <v>114.14</v>
          </cell>
          <cell r="I560">
            <v>0</v>
          </cell>
          <cell r="J560">
            <v>0</v>
          </cell>
          <cell r="K560">
            <v>0</v>
          </cell>
          <cell r="L560">
            <v>114.14</v>
          </cell>
        </row>
        <row r="561">
          <cell r="A561">
            <v>313.99900000000002</v>
          </cell>
          <cell r="B561" t="str">
            <v>membrana   geotextil    Mac  tex  N 26,2</v>
          </cell>
          <cell r="C561" t="str">
            <v>m2</v>
          </cell>
          <cell r="D561">
            <v>10.098000000000001</v>
          </cell>
          <cell r="H561">
            <v>10.1</v>
          </cell>
          <cell r="I561">
            <v>0</v>
          </cell>
          <cell r="J561">
            <v>0</v>
          </cell>
          <cell r="K561">
            <v>0</v>
          </cell>
          <cell r="L561">
            <v>10.1</v>
          </cell>
        </row>
        <row r="562">
          <cell r="A562">
            <v>313.11110000000002</v>
          </cell>
          <cell r="B562" t="str">
            <v>Membrana   impermeabilizante esp. 2,5mm  Mac line shd</v>
          </cell>
          <cell r="C562" t="str">
            <v>m2</v>
          </cell>
          <cell r="D562">
            <v>116.28</v>
          </cell>
          <cell r="H562">
            <v>116.28</v>
          </cell>
          <cell r="I562">
            <v>0</v>
          </cell>
          <cell r="J562">
            <v>0</v>
          </cell>
          <cell r="K562">
            <v>0</v>
          </cell>
          <cell r="L562">
            <v>116.28</v>
          </cell>
        </row>
        <row r="563">
          <cell r="A563">
            <v>313.1112</v>
          </cell>
          <cell r="B563" t="str">
            <v>caño  de  PVC  40mm</v>
          </cell>
          <cell r="C563" t="str">
            <v>ml</v>
          </cell>
          <cell r="D563">
            <v>7</v>
          </cell>
          <cell r="H563">
            <v>7</v>
          </cell>
          <cell r="I563">
            <v>0</v>
          </cell>
          <cell r="J563">
            <v>0</v>
          </cell>
          <cell r="K563">
            <v>0</v>
          </cell>
          <cell r="L563">
            <v>7</v>
          </cell>
        </row>
        <row r="564">
          <cell r="A564">
            <v>313.11130000000003</v>
          </cell>
          <cell r="B564" t="str">
            <v>mascara  antivandalica</v>
          </cell>
          <cell r="C564" t="str">
            <v>un.</v>
          </cell>
          <cell r="D564">
            <v>400</v>
          </cell>
          <cell r="H564">
            <v>400</v>
          </cell>
          <cell r="I564">
            <v>0</v>
          </cell>
          <cell r="J564">
            <v>0</v>
          </cell>
          <cell r="K564">
            <v>0</v>
          </cell>
          <cell r="L564">
            <v>400</v>
          </cell>
        </row>
        <row r="565">
          <cell r="A565">
            <v>313.1114</v>
          </cell>
          <cell r="B565" t="str">
            <v>Caño  galv.  1´´</v>
          </cell>
          <cell r="C565" t="str">
            <v>ml</v>
          </cell>
          <cell r="D565">
            <v>110</v>
          </cell>
          <cell r="H565">
            <v>110</v>
          </cell>
          <cell r="I565">
            <v>0</v>
          </cell>
          <cell r="J565">
            <v>0</v>
          </cell>
          <cell r="K565">
            <v>0</v>
          </cell>
          <cell r="L565">
            <v>110</v>
          </cell>
        </row>
        <row r="566">
          <cell r="A566">
            <v>313.11149999999998</v>
          </cell>
          <cell r="B566" t="str">
            <v>Pintura   asfaltica</v>
          </cell>
          <cell r="C566" t="str">
            <v>Lts</v>
          </cell>
          <cell r="D566">
            <v>35</v>
          </cell>
          <cell r="H566">
            <v>35</v>
          </cell>
          <cell r="I566">
            <v>0</v>
          </cell>
          <cell r="J566">
            <v>0</v>
          </cell>
          <cell r="K566">
            <v>0</v>
          </cell>
          <cell r="L566">
            <v>35</v>
          </cell>
        </row>
        <row r="567">
          <cell r="A567">
            <v>313.11160000000001</v>
          </cell>
          <cell r="B567" t="str">
            <v>tapa    metalica</v>
          </cell>
          <cell r="C567" t="str">
            <v>un.</v>
          </cell>
          <cell r="D567">
            <v>500</v>
          </cell>
          <cell r="H567">
            <v>500</v>
          </cell>
          <cell r="I567">
            <v>0</v>
          </cell>
          <cell r="J567">
            <v>0</v>
          </cell>
          <cell r="K567">
            <v>0</v>
          </cell>
          <cell r="L567">
            <v>500</v>
          </cell>
        </row>
        <row r="568">
          <cell r="A568">
            <v>313.11169999999998</v>
          </cell>
          <cell r="B568" t="str">
            <v>subcontrato    sala  de  tablero</v>
          </cell>
          <cell r="C568" t="str">
            <v>gl</v>
          </cell>
          <cell r="D568">
            <v>294372</v>
          </cell>
          <cell r="H568">
            <v>294372</v>
          </cell>
          <cell r="I568">
            <v>0</v>
          </cell>
          <cell r="J568">
            <v>0</v>
          </cell>
          <cell r="K568">
            <v>0</v>
          </cell>
          <cell r="L568">
            <v>294372</v>
          </cell>
        </row>
        <row r="569">
          <cell r="A569">
            <v>313.11180000000002</v>
          </cell>
          <cell r="B569" t="str">
            <v>Caño  de  A. I.   152,8mm</v>
          </cell>
          <cell r="C569" t="str">
            <v>ml</v>
          </cell>
          <cell r="D569">
            <v>2500</v>
          </cell>
          <cell r="H569">
            <v>2500</v>
          </cell>
          <cell r="I569">
            <v>0</v>
          </cell>
          <cell r="J569">
            <v>0</v>
          </cell>
          <cell r="K569">
            <v>0</v>
          </cell>
          <cell r="L569">
            <v>2500</v>
          </cell>
        </row>
        <row r="570">
          <cell r="A570">
            <v>313.11189999999999</v>
          </cell>
          <cell r="B570" t="str">
            <v>Aparejo  p/izaje  de  bomba</v>
          </cell>
          <cell r="C570" t="str">
            <v>gl</v>
          </cell>
          <cell r="D570">
            <v>5500</v>
          </cell>
          <cell r="H570">
            <v>5500</v>
          </cell>
          <cell r="I570">
            <v>0</v>
          </cell>
          <cell r="J570">
            <v>0</v>
          </cell>
          <cell r="K570">
            <v>0</v>
          </cell>
          <cell r="L570">
            <v>5500</v>
          </cell>
        </row>
        <row r="571">
          <cell r="A571">
            <v>313.1121</v>
          </cell>
          <cell r="B571" t="str">
            <v xml:space="preserve">semaforos  </v>
          </cell>
          <cell r="C571" t="str">
            <v>un</v>
          </cell>
          <cell r="D571">
            <v>80000</v>
          </cell>
          <cell r="H571">
            <v>80000</v>
          </cell>
          <cell r="I571">
            <v>0</v>
          </cell>
          <cell r="J571">
            <v>0</v>
          </cell>
          <cell r="K571">
            <v>0</v>
          </cell>
          <cell r="L571">
            <v>80000</v>
          </cell>
        </row>
        <row r="572">
          <cell r="A572">
            <v>313.11219999999997</v>
          </cell>
          <cell r="B572" t="str">
            <v>enduido  plastico  para  exterior</v>
          </cell>
          <cell r="C572" t="str">
            <v>kg</v>
          </cell>
          <cell r="D572">
            <v>40</v>
          </cell>
          <cell r="H572">
            <v>40</v>
          </cell>
          <cell r="I572">
            <v>0</v>
          </cell>
          <cell r="J572">
            <v>0</v>
          </cell>
          <cell r="K572">
            <v>0</v>
          </cell>
          <cell r="L572">
            <v>40</v>
          </cell>
        </row>
        <row r="573">
          <cell r="A573">
            <v>313.1123</v>
          </cell>
          <cell r="B573" t="str">
            <v>masilla  plastica poliuretanica  blanca</v>
          </cell>
          <cell r="C573" t="str">
            <v>kg</v>
          </cell>
          <cell r="D573">
            <v>440</v>
          </cell>
          <cell r="H573">
            <v>440</v>
          </cell>
          <cell r="I573">
            <v>0</v>
          </cell>
          <cell r="J573">
            <v>0</v>
          </cell>
          <cell r="K573">
            <v>0</v>
          </cell>
          <cell r="L573">
            <v>440</v>
          </cell>
        </row>
        <row r="574">
          <cell r="A574">
            <v>313.11239999999998</v>
          </cell>
          <cell r="B574" t="str">
            <v>cable   sintenax  2x4mm</v>
          </cell>
          <cell r="C574" t="str">
            <v>ml</v>
          </cell>
          <cell r="D574">
            <v>18</v>
          </cell>
          <cell r="H574">
            <v>18</v>
          </cell>
          <cell r="I574">
            <v>0</v>
          </cell>
          <cell r="J574">
            <v>0</v>
          </cell>
          <cell r="K574">
            <v>0</v>
          </cell>
          <cell r="L574">
            <v>18</v>
          </cell>
        </row>
        <row r="575">
          <cell r="A575">
            <v>313.11250000000001</v>
          </cell>
          <cell r="B575" t="str">
            <v>cable   sintenax  4x4mm</v>
          </cell>
          <cell r="C575" t="str">
            <v>ml</v>
          </cell>
          <cell r="D575">
            <v>30</v>
          </cell>
          <cell r="H575">
            <v>30</v>
          </cell>
          <cell r="I575">
            <v>0</v>
          </cell>
          <cell r="J575">
            <v>0</v>
          </cell>
          <cell r="K575">
            <v>0</v>
          </cell>
          <cell r="L575">
            <v>30</v>
          </cell>
        </row>
        <row r="576">
          <cell r="A576">
            <v>313.11259999999999</v>
          </cell>
          <cell r="B576" t="str">
            <v>baranda  de  rampa  de  viaducto  pintada</v>
          </cell>
          <cell r="C576" t="str">
            <v>ml</v>
          </cell>
          <cell r="D576">
            <v>1643</v>
          </cell>
          <cell r="H576">
            <v>1643</v>
          </cell>
          <cell r="I576">
            <v>0</v>
          </cell>
          <cell r="J576">
            <v>0</v>
          </cell>
          <cell r="K576">
            <v>0</v>
          </cell>
          <cell r="L576">
            <v>1643</v>
          </cell>
        </row>
        <row r="577">
          <cell r="A577">
            <v>313.11270000000002</v>
          </cell>
          <cell r="B577" t="str">
            <v>baranda  peatonal  de  escalera  rampa y  pasaje peatonal</v>
          </cell>
          <cell r="C577" t="str">
            <v>ml</v>
          </cell>
          <cell r="D577">
            <v>4853</v>
          </cell>
          <cell r="H577">
            <v>4853</v>
          </cell>
          <cell r="I577">
            <v>0</v>
          </cell>
          <cell r="J577">
            <v>0</v>
          </cell>
          <cell r="K577">
            <v>0</v>
          </cell>
          <cell r="L577">
            <v>4853</v>
          </cell>
        </row>
        <row r="578">
          <cell r="A578">
            <v>313.11279999999999</v>
          </cell>
          <cell r="B578" t="str">
            <v>Pasamano  para  escalera  rampa</v>
          </cell>
          <cell r="C578" t="str">
            <v>ml</v>
          </cell>
          <cell r="D578">
            <v>850</v>
          </cell>
          <cell r="H578">
            <v>850</v>
          </cell>
          <cell r="I578">
            <v>0</v>
          </cell>
          <cell r="J578">
            <v>0</v>
          </cell>
          <cell r="K578">
            <v>0</v>
          </cell>
          <cell r="L578">
            <v>850</v>
          </cell>
        </row>
        <row r="579">
          <cell r="A579">
            <v>313.11290000000002</v>
          </cell>
          <cell r="B579" t="str">
            <v xml:space="preserve">Excavacion  c/ entibado   </v>
          </cell>
          <cell r="C579" t="str">
            <v>m3</v>
          </cell>
          <cell r="D579">
            <v>9271</v>
          </cell>
          <cell r="H579">
            <v>9271</v>
          </cell>
          <cell r="I579">
            <v>0</v>
          </cell>
          <cell r="J579">
            <v>0</v>
          </cell>
          <cell r="K579">
            <v>0</v>
          </cell>
          <cell r="L579">
            <v>9271</v>
          </cell>
        </row>
        <row r="580">
          <cell r="A580">
            <v>313.11309999999997</v>
          </cell>
          <cell r="B580" t="str">
            <v>Caño PEAD Ø500mm PN6</v>
          </cell>
          <cell r="C580" t="str">
            <v>ml</v>
          </cell>
          <cell r="D580">
            <v>1872.7200000000003</v>
          </cell>
          <cell r="H580">
            <v>1872.72</v>
          </cell>
          <cell r="I580">
            <v>0</v>
          </cell>
          <cell r="J580">
            <v>0</v>
          </cell>
          <cell r="K580">
            <v>0</v>
          </cell>
          <cell r="L580">
            <v>1872.72</v>
          </cell>
        </row>
        <row r="581">
          <cell r="A581">
            <v>313.11320000000001</v>
          </cell>
          <cell r="B581" t="str">
            <v>Tunelera dirigida</v>
          </cell>
          <cell r="C581" t="str">
            <v>ml</v>
          </cell>
          <cell r="D581">
            <v>4790</v>
          </cell>
          <cell r="H581">
            <v>4790</v>
          </cell>
          <cell r="I581">
            <v>0</v>
          </cell>
          <cell r="J581">
            <v>0</v>
          </cell>
          <cell r="K581">
            <v>0</v>
          </cell>
          <cell r="L581">
            <v>4790</v>
          </cell>
        </row>
        <row r="582">
          <cell r="A582">
            <v>313.11329999999998</v>
          </cell>
          <cell r="B582" t="str">
            <v>Puente  de  servicios</v>
          </cell>
          <cell r="C582" t="str">
            <v>gl</v>
          </cell>
          <cell r="D582">
            <v>9386.1614000000009</v>
          </cell>
          <cell r="H582">
            <v>9386.16</v>
          </cell>
          <cell r="I582">
            <v>0</v>
          </cell>
          <cell r="J582">
            <v>0</v>
          </cell>
          <cell r="K582">
            <v>0</v>
          </cell>
          <cell r="L582">
            <v>9386.16</v>
          </cell>
        </row>
        <row r="583">
          <cell r="A583">
            <v>313.11340000000001</v>
          </cell>
          <cell r="B583" t="str">
            <v>likidambar  estyraciflua  40 l  formado  con  copa</v>
          </cell>
          <cell r="C583" t="str">
            <v>un</v>
          </cell>
          <cell r="D583">
            <v>728</v>
          </cell>
          <cell r="H583">
            <v>728</v>
          </cell>
          <cell r="I583">
            <v>0</v>
          </cell>
          <cell r="J583">
            <v>0</v>
          </cell>
          <cell r="K583">
            <v>0</v>
          </cell>
          <cell r="L583">
            <v>728</v>
          </cell>
        </row>
        <row r="584">
          <cell r="A584">
            <v>313.11349999999999</v>
          </cell>
          <cell r="B584" t="str">
            <v>photinia  fraseri  E=15 l formad  con  copa</v>
          </cell>
          <cell r="C584" t="str">
            <v>un</v>
          </cell>
          <cell r="D584">
            <v>585</v>
          </cell>
          <cell r="H584">
            <v>585</v>
          </cell>
          <cell r="I584">
            <v>0</v>
          </cell>
          <cell r="J584">
            <v>0</v>
          </cell>
          <cell r="K584">
            <v>0</v>
          </cell>
          <cell r="L584">
            <v>585</v>
          </cell>
        </row>
        <row r="585">
          <cell r="A585">
            <v>313.11360000000002</v>
          </cell>
          <cell r="B585" t="str">
            <v xml:space="preserve">estipa  tenuisima </v>
          </cell>
          <cell r="C585" t="str">
            <v>un</v>
          </cell>
          <cell r="D585">
            <v>77</v>
          </cell>
          <cell r="H585">
            <v>77</v>
          </cell>
          <cell r="I585">
            <v>0</v>
          </cell>
          <cell r="J585">
            <v>0</v>
          </cell>
          <cell r="K585">
            <v>0</v>
          </cell>
          <cell r="L585">
            <v>77</v>
          </cell>
        </row>
        <row r="586">
          <cell r="A586">
            <v>313.11369999999999</v>
          </cell>
          <cell r="B586" t="str">
            <v>transplante  de  arboles</v>
          </cell>
          <cell r="C586" t="str">
            <v>un</v>
          </cell>
          <cell r="D586">
            <v>30000</v>
          </cell>
          <cell r="H586">
            <v>30000</v>
          </cell>
          <cell r="I586">
            <v>0</v>
          </cell>
          <cell r="J586">
            <v>0</v>
          </cell>
          <cell r="K586">
            <v>0</v>
          </cell>
          <cell r="L586">
            <v>30000</v>
          </cell>
        </row>
        <row r="587">
          <cell r="A587">
            <v>313.11380000000003</v>
          </cell>
          <cell r="B587" t="str">
            <v xml:space="preserve">estipa  tenuisima </v>
          </cell>
          <cell r="C587" t="str">
            <v>un</v>
          </cell>
          <cell r="D587">
            <v>79</v>
          </cell>
          <cell r="H587">
            <v>79</v>
          </cell>
          <cell r="I587">
            <v>0</v>
          </cell>
          <cell r="J587">
            <v>0</v>
          </cell>
          <cell r="K587">
            <v>0</v>
          </cell>
          <cell r="L587">
            <v>79</v>
          </cell>
        </row>
        <row r="588">
          <cell r="A588">
            <v>313.1139</v>
          </cell>
          <cell r="B588" t="str">
            <v>baranda  de  rampa  de  viaducto  pintada en  extremo  de  tunel</v>
          </cell>
          <cell r="C588" t="str">
            <v>ml</v>
          </cell>
          <cell r="D588">
            <v>12500</v>
          </cell>
          <cell r="H588">
            <v>12500</v>
          </cell>
          <cell r="I588">
            <v>0</v>
          </cell>
          <cell r="J588">
            <v>0</v>
          </cell>
          <cell r="K588">
            <v>0</v>
          </cell>
          <cell r="L588">
            <v>12500</v>
          </cell>
        </row>
        <row r="589">
          <cell r="A589">
            <v>313.11410000000001</v>
          </cell>
          <cell r="B589" t="str">
            <v>cartel  de   Obra</v>
          </cell>
          <cell r="C589" t="str">
            <v>un</v>
          </cell>
          <cell r="D589">
            <v>5400</v>
          </cell>
          <cell r="H589">
            <v>5400</v>
          </cell>
          <cell r="I589">
            <v>0</v>
          </cell>
          <cell r="J589">
            <v>0</v>
          </cell>
          <cell r="K589">
            <v>0</v>
          </cell>
          <cell r="L589">
            <v>5400</v>
          </cell>
        </row>
        <row r="590">
          <cell r="A590">
            <v>313.11419999999998</v>
          </cell>
          <cell r="B590" t="str">
            <v>Ensayo   a  la  compresion  de  probetas  cilindricas</v>
          </cell>
          <cell r="C590" t="str">
            <v>gl</v>
          </cell>
          <cell r="D590">
            <v>250176.3</v>
          </cell>
          <cell r="H590">
            <v>250176.3</v>
          </cell>
          <cell r="I590">
            <v>0</v>
          </cell>
          <cell r="J590">
            <v>0</v>
          </cell>
          <cell r="K590">
            <v>0</v>
          </cell>
          <cell r="L590">
            <v>250176.3</v>
          </cell>
        </row>
        <row r="591">
          <cell r="A591">
            <v>315.11410000000001</v>
          </cell>
          <cell r="B591" t="str">
            <v>cartel  de   Obra</v>
          </cell>
          <cell r="C591" t="str">
            <v>un</v>
          </cell>
          <cell r="D591">
            <v>5402</v>
          </cell>
          <cell r="H591">
            <v>5402</v>
          </cell>
          <cell r="I591">
            <v>0</v>
          </cell>
          <cell r="J591">
            <v>0</v>
          </cell>
          <cell r="K591">
            <v>0</v>
          </cell>
          <cell r="L591">
            <v>5402</v>
          </cell>
        </row>
        <row r="592">
          <cell r="A592">
            <v>315.11419999999998</v>
          </cell>
          <cell r="B592" t="str">
            <v>Malla Q335</v>
          </cell>
          <cell r="C592" t="str">
            <v>m2</v>
          </cell>
          <cell r="D592">
            <v>90</v>
          </cell>
          <cell r="H592">
            <v>90</v>
          </cell>
          <cell r="I592">
            <v>0</v>
          </cell>
          <cell r="J592">
            <v>0</v>
          </cell>
          <cell r="K592">
            <v>0</v>
          </cell>
          <cell r="L592">
            <v>90</v>
          </cell>
        </row>
        <row r="593">
          <cell r="A593">
            <v>315.11430000000001</v>
          </cell>
          <cell r="B593" t="str">
            <v>Subcontrato  ejecucion  de  pilotes Ø 0,30m</v>
          </cell>
          <cell r="C593" t="str">
            <v>ml</v>
          </cell>
          <cell r="D593">
            <v>600</v>
          </cell>
          <cell r="H593">
            <v>600</v>
          </cell>
        </row>
        <row r="594">
          <cell r="A594">
            <v>314</v>
          </cell>
          <cell r="B594" t="str">
            <v>Macetero 1,60x0,80x0,80 m</v>
          </cell>
          <cell r="C594" t="str">
            <v>Un</v>
          </cell>
          <cell r="D594">
            <v>2860</v>
          </cell>
          <cell r="H594">
            <v>2860</v>
          </cell>
          <cell r="I594">
            <v>0</v>
          </cell>
          <cell r="J594">
            <v>0</v>
          </cell>
          <cell r="K594">
            <v>0</v>
          </cell>
          <cell r="L594">
            <v>2860</v>
          </cell>
          <cell r="M594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upuesto"/>
      <sheetName val="CR"/>
      <sheetName val="MdO"/>
      <sheetName val="Equipo"/>
      <sheetName val="Mat (Bco)"/>
      <sheetName val="Mat (Pres)"/>
      <sheetName val="CV"/>
      <sheetName val="A1"/>
      <sheetName val="A2"/>
      <sheetName val="A3"/>
      <sheetName val="A4"/>
      <sheetName val="A5"/>
      <sheetName val="A6"/>
      <sheetName val="A7"/>
      <sheetName val="A8"/>
      <sheetName val="A9"/>
      <sheetName val="A9.1"/>
      <sheetName val="A9.2"/>
      <sheetName val="A9.3"/>
      <sheetName val="A9.4"/>
      <sheetName val="A9.5"/>
      <sheetName val="A9.6"/>
      <sheetName val="A9.7"/>
      <sheetName val="A9.8"/>
      <sheetName val="A10"/>
      <sheetName val="A11"/>
      <sheetName val="A12"/>
      <sheetName val="A13"/>
      <sheetName val="A13.1"/>
      <sheetName val="A13.2"/>
      <sheetName val="A13.3"/>
      <sheetName val="A13.4"/>
      <sheetName val="A13.5"/>
      <sheetName val="A14"/>
      <sheetName val="A15"/>
      <sheetName val="A15.1"/>
      <sheetName val="A15.2"/>
      <sheetName val="A15.3"/>
      <sheetName val="A15.4"/>
      <sheetName val="A15.5"/>
      <sheetName val="A15.6"/>
      <sheetName val="A15.7"/>
      <sheetName val="A16"/>
      <sheetName val="A17"/>
      <sheetName val="A17.1"/>
      <sheetName val="A17.2"/>
      <sheetName val="A17.3"/>
      <sheetName val="A17.4"/>
      <sheetName val="A17.5"/>
      <sheetName val="A17.6"/>
      <sheetName val="A17.7"/>
      <sheetName val="A17.8"/>
      <sheetName val="A17.9"/>
      <sheetName val="A18"/>
      <sheetName val="A18.1"/>
      <sheetName val="A18.2"/>
      <sheetName val="A18.3"/>
      <sheetName val="A18.4"/>
      <sheetName val="A18.5"/>
      <sheetName val="A18.6"/>
      <sheetName val="A18.7"/>
      <sheetName val="A18.8"/>
      <sheetName val="A18.9"/>
      <sheetName val="A18.10"/>
      <sheetName val="A18.11"/>
      <sheetName val="A18.12"/>
      <sheetName val="A18.13"/>
      <sheetName val="A18.14"/>
      <sheetName val="A18.15"/>
      <sheetName val="A18.16"/>
      <sheetName val="A18.17"/>
      <sheetName val="A18.18"/>
      <sheetName val="A18.19"/>
      <sheetName val="A18.20"/>
      <sheetName val="A18.21"/>
      <sheetName val="B1"/>
      <sheetName val="B2"/>
      <sheetName val="B3"/>
      <sheetName val="B4"/>
      <sheetName val="B5"/>
      <sheetName val="B6"/>
      <sheetName val="B7"/>
      <sheetName val="B8"/>
      <sheetName val="B9"/>
      <sheetName val="B1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mputo Mant.Rutina"/>
      <sheetName val="Presupuesto MantRutina"/>
      <sheetName val="Presupuesto MantRutina_READEC"/>
      <sheetName val="Precios"/>
      <sheetName val="Precios_READEC"/>
      <sheetName val="Costo de Equipos"/>
      <sheetName val="Variación Insumos"/>
      <sheetName val="Valores Const"/>
      <sheetName val="Valores Const_READEC"/>
      <sheetName val="Mat.Comerciales"/>
      <sheetName val="Mat.Comerciales READEC"/>
      <sheetName val="Movilidad 4x4"/>
      <sheetName val="Movilidad 4x4_READEC"/>
      <sheetName val="Movilidad sedan"/>
      <sheetName val="Movilidad sedan_READEC"/>
      <sheetName val="Ayudantes Balanza"/>
      <sheetName val="Ayudantes Balanza_READEC"/>
      <sheetName val="Bacheo c_coef"/>
      <sheetName val="Bacheo c_coef_READEC"/>
      <sheetName val="Sellado fisuras_c_coef"/>
      <sheetName val="Sellado fisuras_c_coef READEC"/>
      <sheetName val="corte de pastos_c_coef"/>
      <sheetName val="corte de pastos_c_coef_READEC"/>
      <sheetName val="Desembanque_c_coef"/>
      <sheetName val="Desembanque_c_coef_READEC"/>
      <sheetName val="Pintado_c_coef"/>
      <sheetName val="Pintado_c_coef_READEC"/>
      <sheetName val="Señalvertical_c_coef"/>
      <sheetName val="Señalvertical_c_coef_READEC"/>
      <sheetName val="Banquina_c_coef"/>
      <sheetName val="Banquina_c_coef_READEC"/>
      <sheetName val="Mat Banquina_c_coef"/>
      <sheetName val="Mat Banquina_c_coef_READEC"/>
      <sheetName val="perfilado_c_coef "/>
      <sheetName val="perfilado_c_coef_READEC"/>
      <sheetName val="limpieza gral_c_coef"/>
      <sheetName val="limpieza gral _c_coef_READEC"/>
      <sheetName val="Baranda_c_coef "/>
      <sheetName val="Baranda_c_coef_READEC"/>
      <sheetName val="limpieza señales_c_coef"/>
      <sheetName val="limpieza señales_c_coef_READEC"/>
      <sheetName val="Pretiles_c_coef"/>
      <sheetName val="Pretiles_c_coef_READEC"/>
      <sheetName val="Materiales comerciales c_coef"/>
      <sheetName val="Coefientes Generales"/>
      <sheetName val="Hoja2"/>
      <sheetName val="Hoja3"/>
      <sheetName val="Cómputo Mant.Rutina_8000"/>
      <sheetName val="Presupuesto MantRutina_8000"/>
      <sheetName val="Presupuesto MantRutina8_READEC"/>
      <sheetName val="Cómputo Mant.Rutina_7000"/>
      <sheetName val="Presupuesto MantRutina_7000"/>
      <sheetName val="Presupuesto MantRutina7_READ"/>
      <sheetName val="Comparación Precios"/>
      <sheetName val="Equipo Min"/>
      <sheetName val="Sin uso"/>
      <sheetName val="Sellado fisuras_c_coef_READEC"/>
      <sheetName val="Señalamiento_c_coef"/>
      <sheetName val="Señalamiento_c_coef_READEC"/>
      <sheetName val="limpieza_c_coef"/>
      <sheetName val="limpieza_c_coef_READEC"/>
      <sheetName val="invernal_c_coef"/>
      <sheetName val="invernal_c_coef_READEC"/>
      <sheetName val="Mat explotados Base-Banq"/>
      <sheetName val="Mat explotados Base-Banq_READEC"/>
      <sheetName val="Mat explotados Arena"/>
      <sheetName val="Mat explotados Arena_READEC"/>
      <sheetName val="Mat explotados ArenaTrit"/>
      <sheetName val="Mat explotados ArenaTrit_READEC"/>
      <sheetName val="Mat explotados PiedraTrit"/>
      <sheetName val="Mat explotados PiedraTrit_READE"/>
      <sheetName val="Materiales comerciales c_co_REA"/>
      <sheetName val="Coefientes Generales_READ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_Presup_original"/>
      <sheetName val="Comp_Presup_original_READEC"/>
      <sheetName val="Variación Insumos"/>
      <sheetName val="Costo de Equipos"/>
      <sheetName val="Valores Const"/>
      <sheetName val="Valores Const_READEC"/>
      <sheetName val="Carpeta_c_coef"/>
      <sheetName val="Carpeta_pte_READEC"/>
      <sheetName val="BarandaPasamano_c_coef"/>
      <sheetName val="BarandaPasamano_READEC"/>
      <sheetName val="Rep.IntegralPteAºPartido"/>
      <sheetName val="Rep.IntegralPteAºPartido_READEC"/>
      <sheetName val="RiegoDeLiga"/>
      <sheetName val="Riego de liga_c_coef "/>
      <sheetName val="Riego de liga_READEC"/>
      <sheetName val="Hormigon_CLASE &quot;C&quot;"/>
      <sheetName val="Hormigon_CLASE &quot;C&quot;_READEC"/>
      <sheetName val="Rep.Pte.C.Cura"/>
      <sheetName val="Rep.Pte.C.Cura_READEC"/>
      <sheetName val="Rep.IntegralPteRºHermoso"/>
      <sheetName val="Rep.IntegralPteRºHermoso_READEC"/>
      <sheetName val="Señal vertical_c_coef"/>
      <sheetName val="Señal vertical_READEC"/>
      <sheetName val="Mat explotados Arena"/>
      <sheetName val="Mat expl_Arena_PTE_READEC"/>
      <sheetName val="Mat explotados ArenaTrit"/>
      <sheetName val="Mat expl_ArenaTrit_PTE_READEC"/>
      <sheetName val="Mat explotados PiedraTrit"/>
      <sheetName val="Mat expl_PiedraTrit_PTE_READEC"/>
      <sheetName val="Materiales comerciales c_coef"/>
      <sheetName val="Materiales comerciales _READEC"/>
      <sheetName val="Excavfund_Puente"/>
      <sheetName val="Excavfund_Puente_READEC"/>
      <sheetName val="Pilotes exc_Puente"/>
      <sheetName val="Pilotes exc_Puente_READEC"/>
      <sheetName val="Hº columnas_Puente"/>
      <sheetName val="Hº columnas_Pte_READEC"/>
      <sheetName val="Hº losas_Puente"/>
      <sheetName val="Hº losas_Puente_READEC"/>
      <sheetName val="Hº vigas_Puente"/>
      <sheetName val="Hº vigas_Puente_READEC"/>
      <sheetName val="Acero p_Preten_Puente"/>
      <sheetName val="Acero p_Preten_Puente_READEC"/>
      <sheetName val="Acero_Puente"/>
      <sheetName val="Acero_Puente_READEC"/>
      <sheetName val="Apoyos_Puente"/>
      <sheetName val="Apoyos_Puente_READEC"/>
      <sheetName val="Pilotes excavados"/>
      <sheetName val="Pilotes excavados_READEC"/>
      <sheetName val="Pilotes columnas"/>
      <sheetName val="Pilotes columnas_READEC"/>
      <sheetName val="Cabezales columnas"/>
      <sheetName val="Cabezales columnas_READEC"/>
      <sheetName val="Estribos"/>
      <sheetName val="Estribos_READEC"/>
      <sheetName val="Calzadas"/>
      <sheetName val="Calzadas_READEC"/>
      <sheetName val="Losa aprox"/>
      <sheetName val="Losa aprox_READEC"/>
      <sheetName val="vigas"/>
      <sheetName val="vigas_READEC"/>
      <sheetName val="apoyos"/>
      <sheetName val="apoyos_READEC"/>
      <sheetName val="Traslado vigas_Puente"/>
      <sheetName val="Traslado vigas_Puente_READEC"/>
      <sheetName val="Junta dilatacion"/>
      <sheetName val="Junta dilatacion_READEC"/>
      <sheetName val="Proteccion talud"/>
      <sheetName val="Proteccion talud_READEC"/>
      <sheetName val="Coefientes Generales"/>
      <sheetName val="Hoja2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 ANTES DE MODIF!!!!"/>
      <sheetName val="Comp_Presup_original"/>
      <sheetName val="Comp_Presup_READEC"/>
      <sheetName val="Variación Insumos"/>
      <sheetName val="Precios"/>
      <sheetName val="Precios_READEC"/>
      <sheetName val="Costo de Equipos"/>
      <sheetName val="Valores Const_nueva MdeO"/>
      <sheetName val="Valores Const"/>
      <sheetName val="Valores Const_READEC"/>
      <sheetName val="Bacheo con saneam."/>
      <sheetName val="Bacheo con saneam_READEC"/>
      <sheetName val="Sellado fisuras_c_coef"/>
      <sheetName val="Sellado fisuras_READEC"/>
      <sheetName val="Relleno ahuellam."/>
      <sheetName val="Relleno ahuellam_READEC"/>
      <sheetName val="Carpeta_c_coef"/>
      <sheetName val="Carpeta_READEC"/>
      <sheetName val="Banquina_c_coef"/>
      <sheetName val="Banquina_READEC"/>
      <sheetName val="Terraplen_c_coef"/>
      <sheetName val="Terraplen_READEC"/>
      <sheetName val="Terraplen sin comp c_coef_NO!"/>
      <sheetName val="Terraplen sin comp _READEC_NO!"/>
      <sheetName val="Escarificado"/>
      <sheetName val="Escarificado_READEC"/>
      <sheetName val="SubBase_c_coef"/>
      <sheetName val="SubBase_READEC"/>
      <sheetName val="Base_c_coef"/>
      <sheetName val="Base_READEC"/>
      <sheetName val="Riego imprim."/>
      <sheetName val="Riego imprim_READEC"/>
      <sheetName val="Obra Basica"/>
      <sheetName val="Obra Basica_READEC"/>
      <sheetName val="Alteo de muros y guard_c_co (2)"/>
      <sheetName val="Alteo de muros y guard_READEC"/>
      <sheetName val="Excavacion_c_coef"/>
      <sheetName val="Excavacion_READEC"/>
      <sheetName val="Dren_c_coef"/>
      <sheetName val="Dren_READEC"/>
      <sheetName val="Baranda_c_coef"/>
      <sheetName val="Baranda_READEC"/>
      <sheetName val="Retiro y recol Pretiles"/>
      <sheetName val="Retiro y recol Pretiles_READEC"/>
      <sheetName val="SeñHoriz_c_coef"/>
      <sheetName val="SeñHoriz_READEC"/>
      <sheetName val="Senda Peatonal"/>
      <sheetName val="Senda Peatonal_READEC"/>
      <sheetName val="BarandaPasamano_c_coef"/>
      <sheetName val="BarandaPasamano_c_coef_READEC"/>
      <sheetName val="CICLOVIA"/>
      <sheetName val="CICLOVIA_READEC"/>
      <sheetName val="ImprimReforzada"/>
      <sheetName val="ImprimReforzada_READEC"/>
      <sheetName val="Rep.Pte.C.Cura"/>
      <sheetName val="Rep.Pte.C.Cura_READEC"/>
      <sheetName val="Junta de Dilatación_c_coef"/>
      <sheetName val="Junta de Dilatación_c_co_READEC"/>
      <sheetName val="Hormigon_rep_de cunetas_c_coef"/>
      <sheetName val="Hormigon_rep_de cunetas_READEC"/>
      <sheetName val="BandasOSonoras_c_coef"/>
      <sheetName val="BandasOSonoras_READEC"/>
      <sheetName val="Rep.IntegralAlc_c_coef"/>
      <sheetName val="Rep.IntegralAlc_READEC"/>
      <sheetName val="Microaglomerado"/>
      <sheetName val="Microaglomerado_READEC"/>
      <sheetName val="RepSocava80.26"/>
      <sheetName val="RepSocava80.26_READEC"/>
      <sheetName val="Riego de liga_c_coef "/>
      <sheetName val="Rep.IntegralPteRºHermoso"/>
      <sheetName val="Rep.IntegralPteRºHermoso_READEC"/>
      <sheetName val="Rep.IntegralPteAºPartido"/>
      <sheetName val="Rep.IntegralPteAºPartido_READEC"/>
      <sheetName val="Riego de liga_READEC"/>
      <sheetName val="Gaviones_c_coef"/>
      <sheetName val="Gaviones_READEC"/>
      <sheetName val="Retiro y recol Baranda_c_coef"/>
      <sheetName val="Retiro_recol Baran_READEC"/>
      <sheetName val="Hormigon_CLASE &quot;C&quot;"/>
      <sheetName val="Hormigon_CLASE &quot;C&quot;_READEC"/>
      <sheetName val="Señal vertical_c_coef"/>
      <sheetName val="Señal vertical_READEC"/>
      <sheetName val="Mat.Comerciales"/>
      <sheetName val="Mat.ComercialesREADEC"/>
      <sheetName val="Mat explotados Base"/>
      <sheetName val="Mat explotados BaseREADEC"/>
      <sheetName val="Mat explotados Arena"/>
      <sheetName val="Mat explotados ArenaREADEC"/>
      <sheetName val="Mat explotados ArenaTrit"/>
      <sheetName val="Mat explotados ArenaTritREADEC"/>
      <sheetName val="Mat explotados PiedraTrit"/>
      <sheetName val="Mat explotados PiedraTritREADEC"/>
      <sheetName val="Materiales comerciales c_coef"/>
      <sheetName val="Rest.Drenaje_c_coef"/>
      <sheetName val="Rest.Drenaje_READEC"/>
      <sheetName val="Rotondas"/>
      <sheetName val="Rotondas_READEC"/>
      <sheetName val="Acc.Chimehuin"/>
      <sheetName val="Acc.Chimehuin_READEC"/>
      <sheetName val="Coefientes Generales"/>
      <sheetName val="Materiales comerciales_READEC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mputo Mant.Rutina"/>
      <sheetName val="Presupuesto MantRutina"/>
      <sheetName val="Precios"/>
      <sheetName val="Costo de Equipos"/>
      <sheetName val="Equipo Min"/>
      <sheetName val="Valores Const"/>
      <sheetName val="Sin uso"/>
      <sheetName val="Bacheo c_coef"/>
      <sheetName val="Sellado fisuras_c_coef"/>
      <sheetName val="corte de pastos_c_coef"/>
      <sheetName val="Desembanque_c_coef"/>
      <sheetName val="Pintado_c_coef"/>
      <sheetName val="Señalamiento_c_coef"/>
      <sheetName val="Banquina_c_coef"/>
      <sheetName val="perfilado_c_coef "/>
      <sheetName val="limpieza_c_coef"/>
      <sheetName val="Baranda_c_coef "/>
      <sheetName val="limpieza señales_c_coef"/>
      <sheetName val="Pretiles_c_coef"/>
      <sheetName val="invernal_c_coef"/>
      <sheetName val="Mat explotados Base-Banq"/>
      <sheetName val="Mat explotados Arena"/>
      <sheetName val="Mat explotados ArenaTrit"/>
      <sheetName val="Mat explotados PiedraTrit"/>
      <sheetName val="Mat.Comerciales"/>
      <sheetName val="Materiales comerciales c_coef"/>
      <sheetName val="Coefientes Generales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ores Const_READEC"/>
      <sheetName val="Costo de Equipos"/>
      <sheetName val="Comp_Presup_07"/>
      <sheetName val="Cómputo OR"/>
      <sheetName val="Cómputo OIO"/>
      <sheetName val="Presupuesto OIO "/>
      <sheetName val="Presupuesto OR"/>
      <sheetName val="Coef R y OIO"/>
      <sheetName val="Tabla &quot;B&quot;"/>
      <sheetName val="Mano de Obra"/>
      <sheetName val="Precio Comb"/>
      <sheetName val="Escarif Banq_READEC"/>
      <sheetName val="ImprimReforzada_READEC"/>
      <sheetName val="Fresado_READEC"/>
      <sheetName val="Bacheo c_coef_READEC"/>
      <sheetName val="Correc Def"/>
      <sheetName val="Sellado fisuras_READEC"/>
      <sheetName val="Riego de liga_READEC"/>
      <sheetName val="carpeta_READEC"/>
      <sheetName val="Banquina_READEC"/>
      <sheetName val="SubBase_READEC"/>
      <sheetName val="Base_READEC"/>
      <sheetName val="demolicion_READEC"/>
      <sheetName val="Alcantarilla_READEC"/>
      <sheetName val="Hormigon cabeceras_READEC"/>
      <sheetName val="Reparacion alcantarilla_READEC"/>
      <sheetName val="Travesia Senillosa_READEC"/>
      <sheetName val="BandasOSonoras_READEC"/>
      <sheetName val="Prolongacion alc_READEC"/>
      <sheetName val="Rest.Drenaje_READEC"/>
      <sheetName val="SeñHoriz_READEC"/>
      <sheetName val="SeñHoriz extrusion_READEC"/>
      <sheetName val="Señalvertical_READEC"/>
      <sheetName val="Baranda_READEC"/>
      <sheetName val="Derivador Picún"/>
      <sheetName val="CIPPA"/>
      <sheetName val="Balanzas"/>
      <sheetName val="Mat expl_Base_READEC"/>
      <sheetName val="Mat expl_Banquina_READEC"/>
      <sheetName val="Mat explotados arena READEC"/>
      <sheetName val="Mat expl_ArenaTrit_READEC"/>
      <sheetName val="Mat expl_PiedraTrit_READEC"/>
      <sheetName val="Materiales comerciales_READEC"/>
      <sheetName val="Vivienda"/>
      <sheetName val="Movilidad 4x4_READEC"/>
      <sheetName val="Movilidad sedan_READEC"/>
      <sheetName val="Ayudantes Balanza_READEC"/>
      <sheetName val="corte de pastos_c_coef_READEC"/>
      <sheetName val="Desembanque_c_coef_READEC"/>
      <sheetName val="Pintado_c_coef_READEC"/>
      <sheetName val="Señalvertical_c_coef_READEC"/>
      <sheetName val="perfilado_c_coef_READEC"/>
      <sheetName val="limpieza gral _c_coef_READEC"/>
      <sheetName val="Baranda_c_coef_READEC"/>
      <sheetName val="limpieza señales_c_coef_READEC"/>
      <sheetName val="Cómputo Mant.Rutina"/>
      <sheetName val="Presupuesto MantRutina_READEC"/>
      <sheetName val="Coefientes Mant"/>
      <sheetName val="VC"/>
      <sheetName val="P"/>
      <sheetName val="P_R"/>
      <sheetName val="Variación Insumos"/>
      <sheetName val="Inversiones"/>
      <sheetName val="Hitos 106"/>
      <sheetName val="Porcentajes (2)"/>
      <sheetName val="Detalle Inversiones"/>
      <sheetName val="Detalle Secciones"/>
      <sheetName val="Dist.Porc.p_Sec"/>
      <sheetName val="Planilla Porcentual"/>
      <sheetName val="Planilla Datos Grales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EN AGO-95"/>
      <sheetName val="REDET AGO-95 (nuevo)"/>
      <sheetName val="REDET AGO-95 para BORRAR!!!!!"/>
      <sheetName val="Variaciones a AGO_95"/>
      <sheetName val="ORIGEN MZ-98"/>
      <sheetName val="REDET MZ-98_original "/>
      <sheetName val="Variaciones a MAR_98"/>
      <sheetName val="ORIGEN 8-00"/>
      <sheetName val="REDET AGO-00 "/>
      <sheetName val="variaciones a AGO_00"/>
      <sheetName val="O. Falt. al 30-06-02_ a ORIGEN "/>
      <sheetName val="Obra Faltante_REDETERMINADA"/>
      <sheetName val="Acta de Redeterminac-de Precios"/>
      <sheetName val="Hoja7"/>
      <sheetName val="Hoja8"/>
      <sheetName val="Hoja9"/>
      <sheetName val="Hoja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mputo Mant.Rutina_8000"/>
      <sheetName val="Presupuesto MantRutina_8000"/>
      <sheetName val="Presupuesto MantRutina8_READEC"/>
      <sheetName val="Cómputo Mant.Rutina_7000"/>
      <sheetName val="Presupuesto MantRutina_7000"/>
      <sheetName val="Presupuesto MantRutina7_READ"/>
      <sheetName val="Precios"/>
      <sheetName val="Precios_READEC"/>
      <sheetName val="Comparación Precios"/>
      <sheetName val="Costo de Equipos"/>
      <sheetName val="Variación Insumos"/>
      <sheetName val="Equipo Min"/>
      <sheetName val="Valores Const"/>
      <sheetName val="Valores Const_READEC"/>
      <sheetName val="Sin uso"/>
      <sheetName val="Bacheo c_coef"/>
      <sheetName val="Bacheo c_coef_READEC"/>
      <sheetName val="Sellado fisuras_c_coef"/>
      <sheetName val="Sellado fisuras_c_coef_READEC"/>
      <sheetName val="corte de pastos_c_coef"/>
      <sheetName val="corte de pastos_c_coef_READEC"/>
      <sheetName val="Desembanque_c_coef"/>
      <sheetName val="Desembanque_c_coef_READEC"/>
      <sheetName val="Pintado_c_coef"/>
      <sheetName val="Pintado_c_coef_READEC"/>
      <sheetName val="Señalamiento_c_coef"/>
      <sheetName val="Señalamiento_c_coef_READEC"/>
      <sheetName val="Banquina_c_coef"/>
      <sheetName val="Banquina_c_coef_READEC"/>
      <sheetName val="perfilado_c_coef "/>
      <sheetName val="perfilado_c_coef_READEC"/>
      <sheetName val="limpieza_c_coef"/>
      <sheetName val="limpieza_c_coef_READEC"/>
      <sheetName val="Baranda_c_coef "/>
      <sheetName val="Baranda_c_coef_READEC"/>
      <sheetName val="limpieza señales_c_coef"/>
      <sheetName val="limpieza señales_c_coef_READEC"/>
      <sheetName val="Pretiles_c_coef"/>
      <sheetName val="Pretiles_c_coef_READEC"/>
      <sheetName val="invernal_c_coef"/>
      <sheetName val="invernal_c_coef_READEC"/>
      <sheetName val="Mat explotados Base-Banq"/>
      <sheetName val="Mat explotados Base-Banq_READEC"/>
      <sheetName val="Mat explotados Arena"/>
      <sheetName val="Mat explotados Arena_READEC"/>
      <sheetName val="Mat explotados ArenaTrit"/>
      <sheetName val="Mat explotados ArenaTrit_READEC"/>
      <sheetName val="Mat explotados PiedraTrit"/>
      <sheetName val="Mat explotados PiedraTrit_READE"/>
      <sheetName val="Mat.Comerciales"/>
      <sheetName val="Materiales comerciales c_coef"/>
      <sheetName val="Materiales comerciales c_co_REA"/>
      <sheetName val="Coefientes Generales"/>
      <sheetName val="Coefientes Generales_READEC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W124"/>
  <sheetViews>
    <sheetView showGridLines="0" tabSelected="1" topLeftCell="N1" zoomScaleNormal="100" zoomScaleSheetLayoutView="85" workbookViewId="0">
      <selection activeCell="E54" sqref="E54"/>
    </sheetView>
  </sheetViews>
  <sheetFormatPr baseColWidth="10" defaultRowHeight="12.75" x14ac:dyDescent="0.2"/>
  <cols>
    <col min="1" max="1" width="11" bestFit="1" customWidth="1"/>
    <col min="2" max="2" width="6.140625" customWidth="1"/>
    <col min="3" max="3" width="56.42578125" customWidth="1"/>
    <col min="4" max="4" width="10.28515625" bestFit="1" customWidth="1"/>
    <col min="5" max="5" width="13.85546875" style="39" bestFit="1" customWidth="1"/>
    <col min="6" max="7" width="12.7109375" customWidth="1"/>
    <col min="8" max="8" width="9.7109375" customWidth="1"/>
    <col min="9" max="9" width="10.7109375" customWidth="1"/>
    <col min="10" max="11" width="12.7109375" customWidth="1"/>
    <col min="12" max="13" width="8.7109375" customWidth="1"/>
    <col min="14" max="14" width="7.28515625" style="39" customWidth="1"/>
    <col min="15" max="15" width="8.7109375" customWidth="1"/>
    <col min="16" max="16" width="9.28515625" bestFit="1" customWidth="1"/>
    <col min="17" max="18" width="12.7109375" customWidth="1"/>
    <col min="19" max="19" width="11.5703125" bestFit="1" customWidth="1"/>
  </cols>
  <sheetData>
    <row r="1" spans="1:20" x14ac:dyDescent="0.2">
      <c r="A1">
        <v>1</v>
      </c>
      <c r="B1">
        <v>1</v>
      </c>
      <c r="C1">
        <v>1</v>
      </c>
      <c r="D1">
        <v>1</v>
      </c>
      <c r="E1" s="39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 s="39">
        <v>1</v>
      </c>
      <c r="O1">
        <v>1</v>
      </c>
      <c r="P1">
        <v>1</v>
      </c>
      <c r="Q1">
        <v>1</v>
      </c>
      <c r="R1">
        <v>1</v>
      </c>
      <c r="S1">
        <v>1</v>
      </c>
    </row>
    <row r="6" spans="1:20" ht="15.95" customHeight="1" x14ac:dyDescent="0.2">
      <c r="B6" s="1" t="s">
        <v>46</v>
      </c>
    </row>
    <row r="7" spans="1:20" ht="15.95" customHeight="1" x14ac:dyDescent="0.2">
      <c r="B7" s="1" t="s">
        <v>74</v>
      </c>
    </row>
    <row r="8" spans="1:20" ht="15.95" customHeight="1" x14ac:dyDescent="0.2">
      <c r="B8" s="1" t="s">
        <v>47</v>
      </c>
    </row>
    <row r="9" spans="1:20" ht="15.75" customHeight="1" x14ac:dyDescent="0.2"/>
    <row r="10" spans="1:20" ht="15.95" customHeight="1" x14ac:dyDescent="0.2">
      <c r="B10" s="76" t="s">
        <v>0</v>
      </c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</row>
    <row r="11" spans="1:20" ht="15.95" customHeight="1" x14ac:dyDescent="0.2">
      <c r="B11" s="2"/>
      <c r="C11" s="3"/>
      <c r="D11" s="3"/>
      <c r="E11" s="40"/>
      <c r="F11" s="3"/>
      <c r="G11" s="3"/>
      <c r="H11" s="3"/>
      <c r="I11" s="3"/>
      <c r="J11" s="4"/>
      <c r="K11" s="3"/>
      <c r="L11" s="3"/>
      <c r="M11" s="3"/>
      <c r="N11" s="40"/>
      <c r="O11" s="3"/>
      <c r="P11" s="3"/>
      <c r="Q11" s="3"/>
      <c r="R11" s="3"/>
      <c r="S11" s="3"/>
    </row>
    <row r="12" spans="1:20" x14ac:dyDescent="0.2">
      <c r="B12" s="5"/>
      <c r="C12" s="5"/>
      <c r="D12" s="5"/>
      <c r="E12" s="41"/>
      <c r="F12" s="5"/>
      <c r="H12" s="5"/>
      <c r="I12" s="6" t="s">
        <v>1</v>
      </c>
      <c r="K12" s="6" t="s">
        <v>2</v>
      </c>
      <c r="L12" s="5"/>
      <c r="M12" s="5"/>
      <c r="N12" s="41"/>
      <c r="O12" s="5"/>
      <c r="P12" s="5"/>
      <c r="Q12" s="5"/>
      <c r="R12" s="5"/>
      <c r="S12" s="5"/>
    </row>
    <row r="13" spans="1:20" x14ac:dyDescent="0.2">
      <c r="B13" s="5"/>
      <c r="C13" s="5"/>
      <c r="D13" s="5"/>
      <c r="E13" s="41"/>
      <c r="F13" s="5"/>
      <c r="G13" s="6" t="s">
        <v>3</v>
      </c>
      <c r="I13" s="6" t="s">
        <v>4</v>
      </c>
      <c r="K13" s="6" t="s">
        <v>5</v>
      </c>
      <c r="L13" s="5"/>
      <c r="M13" s="6" t="str">
        <f>"  i = "&amp;[18]Bco!D19*100&amp;"%"</f>
        <v xml:space="preserve">  i = 10%</v>
      </c>
      <c r="N13" s="42"/>
      <c r="O13" s="5"/>
      <c r="P13" s="5"/>
      <c r="Q13" s="5"/>
      <c r="R13" s="5"/>
      <c r="S13" s="5"/>
    </row>
    <row r="14" spans="1:20" x14ac:dyDescent="0.2">
      <c r="B14" s="5"/>
      <c r="C14" s="5"/>
      <c r="D14" s="5"/>
      <c r="E14" s="41"/>
      <c r="F14" s="5"/>
      <c r="H14" s="5"/>
      <c r="I14" s="6" t="s">
        <v>6</v>
      </c>
      <c r="K14" s="6" t="s">
        <v>7</v>
      </c>
      <c r="L14" s="5"/>
      <c r="M14" s="5"/>
      <c r="N14" s="41"/>
      <c r="O14" s="5"/>
      <c r="P14" s="5"/>
      <c r="Q14" s="5"/>
      <c r="R14" s="5"/>
      <c r="S14" s="5"/>
    </row>
    <row r="15" spans="1:20" ht="12" customHeight="1" x14ac:dyDescent="0.2">
      <c r="B15" s="7"/>
      <c r="C15" s="5"/>
      <c r="D15" s="5"/>
      <c r="E15" s="41"/>
      <c r="F15" s="5"/>
      <c r="G15" s="5"/>
      <c r="H15" s="5"/>
      <c r="I15" s="5"/>
      <c r="J15" s="5"/>
      <c r="K15" s="5"/>
      <c r="L15" s="5"/>
      <c r="M15" s="5"/>
      <c r="N15" s="41"/>
      <c r="O15" s="5"/>
      <c r="Q15" s="5"/>
      <c r="R15" s="5"/>
      <c r="S15" s="5"/>
      <c r="T15" s="5"/>
    </row>
    <row r="16" spans="1:20" ht="12" customHeight="1" x14ac:dyDescent="0.2">
      <c r="B16" s="7"/>
      <c r="C16" s="5"/>
      <c r="D16" s="5"/>
      <c r="E16" s="41"/>
      <c r="F16" s="5"/>
      <c r="G16" s="38">
        <v>0.3</v>
      </c>
      <c r="H16" s="5"/>
      <c r="I16" s="5"/>
      <c r="J16" s="5"/>
      <c r="K16" s="38">
        <v>0.8</v>
      </c>
      <c r="L16" s="5"/>
      <c r="M16" s="5"/>
      <c r="N16" s="41"/>
      <c r="O16" s="5"/>
      <c r="P16" s="5"/>
      <c r="Q16" s="38">
        <v>0.3</v>
      </c>
      <c r="R16" s="5"/>
      <c r="S16" s="5"/>
    </row>
    <row r="17" spans="1:23" ht="20.100000000000001" customHeight="1" x14ac:dyDescent="0.2">
      <c r="B17" s="77" t="s">
        <v>8</v>
      </c>
      <c r="C17" s="8"/>
      <c r="D17" s="9"/>
      <c r="E17" s="73" t="s">
        <v>9</v>
      </c>
      <c r="F17" s="80" t="s">
        <v>9</v>
      </c>
      <c r="G17" s="80" t="s">
        <v>10</v>
      </c>
      <c r="H17" s="80" t="s">
        <v>11</v>
      </c>
      <c r="I17" s="80" t="s">
        <v>12</v>
      </c>
      <c r="J17" s="85" t="s">
        <v>13</v>
      </c>
      <c r="K17" s="85" t="s">
        <v>14</v>
      </c>
      <c r="L17" s="88" t="s">
        <v>15</v>
      </c>
      <c r="M17" s="88"/>
      <c r="N17" s="88"/>
      <c r="O17" s="88"/>
      <c r="P17" s="88"/>
      <c r="Q17" s="89" t="s">
        <v>16</v>
      </c>
      <c r="R17" s="90" t="s">
        <v>17</v>
      </c>
      <c r="S17" s="90" t="s">
        <v>18</v>
      </c>
      <c r="W17" s="73" t="s">
        <v>102</v>
      </c>
    </row>
    <row r="18" spans="1:23" ht="20.100000000000001" customHeight="1" x14ac:dyDescent="0.2">
      <c r="B18" s="78"/>
      <c r="C18" s="10" t="s">
        <v>3</v>
      </c>
      <c r="D18" s="11" t="s">
        <v>19</v>
      </c>
      <c r="E18" s="74"/>
      <c r="F18" s="81"/>
      <c r="G18" s="83"/>
      <c r="H18" s="83"/>
      <c r="I18" s="83"/>
      <c r="J18" s="86"/>
      <c r="K18" s="86"/>
      <c r="L18" s="92" t="s">
        <v>20</v>
      </c>
      <c r="M18" s="80" t="s">
        <v>21</v>
      </c>
      <c r="N18" s="45"/>
      <c r="O18" s="89" t="s">
        <v>22</v>
      </c>
      <c r="P18" s="89" t="s">
        <v>23</v>
      </c>
      <c r="Q18" s="81"/>
      <c r="R18" s="91"/>
      <c r="S18" s="91"/>
      <c r="W18" s="74"/>
    </row>
    <row r="19" spans="1:23" ht="20.100000000000001" customHeight="1" x14ac:dyDescent="0.2">
      <c r="B19" s="79"/>
      <c r="C19" s="12"/>
      <c r="D19" s="12"/>
      <c r="E19" s="75"/>
      <c r="F19" s="82"/>
      <c r="G19" s="13" t="s">
        <v>71</v>
      </c>
      <c r="H19" s="84"/>
      <c r="I19" s="84"/>
      <c r="J19" s="87"/>
      <c r="K19" s="14" t="s">
        <v>72</v>
      </c>
      <c r="L19" s="93"/>
      <c r="M19" s="84"/>
      <c r="N19" s="46"/>
      <c r="O19" s="82"/>
      <c r="P19" s="82"/>
      <c r="Q19" s="13" t="str">
        <f>FIXED([18]Bco!D$18*100,0,TRUE)&amp;"% x (12)"</f>
        <v>30% x (12)</v>
      </c>
      <c r="R19" s="15" t="s">
        <v>24</v>
      </c>
      <c r="S19" s="15" t="s">
        <v>25</v>
      </c>
      <c r="W19" s="75"/>
    </row>
    <row r="20" spans="1:23" s="21" customFormat="1" ht="15" customHeight="1" x14ac:dyDescent="0.2">
      <c r="B20" s="16"/>
      <c r="C20" s="17"/>
      <c r="D20" s="18" t="s">
        <v>26</v>
      </c>
      <c r="E20" s="43" t="s">
        <v>48</v>
      </c>
      <c r="F20" s="18" t="s">
        <v>27</v>
      </c>
      <c r="G20" s="18" t="s">
        <v>27</v>
      </c>
      <c r="H20" s="18" t="s">
        <v>28</v>
      </c>
      <c r="I20" s="18" t="s">
        <v>28</v>
      </c>
      <c r="J20" s="19" t="s">
        <v>29</v>
      </c>
      <c r="K20" s="19" t="s">
        <v>29</v>
      </c>
      <c r="L20" s="17"/>
      <c r="M20" s="18" t="s">
        <v>30</v>
      </c>
      <c r="N20" s="43" t="s">
        <v>76</v>
      </c>
      <c r="O20" s="18" t="s">
        <v>31</v>
      </c>
      <c r="P20" s="18" t="s">
        <v>29</v>
      </c>
      <c r="Q20" s="18" t="s">
        <v>29</v>
      </c>
      <c r="R20" s="20" t="s">
        <v>29</v>
      </c>
      <c r="S20" s="20" t="s">
        <v>29</v>
      </c>
      <c r="W20" s="43" t="s">
        <v>48</v>
      </c>
    </row>
    <row r="21" spans="1:23" s="21" customFormat="1" ht="15" customHeight="1" x14ac:dyDescent="0.2">
      <c r="B21" s="22"/>
      <c r="C21" s="23" t="s">
        <v>32</v>
      </c>
      <c r="D21" s="23" t="s">
        <v>33</v>
      </c>
      <c r="E21" s="44">
        <v>15.4</v>
      </c>
      <c r="F21" s="23" t="s">
        <v>34</v>
      </c>
      <c r="G21" s="23" t="s">
        <v>35</v>
      </c>
      <c r="H21" s="23" t="s">
        <v>36</v>
      </c>
      <c r="I21" s="23" t="s">
        <v>37</v>
      </c>
      <c r="J21" s="24" t="s">
        <v>38</v>
      </c>
      <c r="K21" s="24" t="s">
        <v>39</v>
      </c>
      <c r="L21" s="23" t="s">
        <v>40</v>
      </c>
      <c r="M21" s="23" t="s">
        <v>41</v>
      </c>
      <c r="N21" s="44"/>
      <c r="O21" s="23" t="s">
        <v>42</v>
      </c>
      <c r="P21" s="23" t="s">
        <v>43</v>
      </c>
      <c r="Q21" s="23" t="s">
        <v>44</v>
      </c>
      <c r="R21" s="25" t="s">
        <v>45</v>
      </c>
      <c r="S21" s="25">
        <v>15</v>
      </c>
      <c r="W21" s="44">
        <v>15.4</v>
      </c>
    </row>
    <row r="22" spans="1:23" x14ac:dyDescent="0.2">
      <c r="A22" s="26"/>
      <c r="B22" s="27"/>
      <c r="C22" s="28" t="s">
        <v>54</v>
      </c>
      <c r="D22" s="33">
        <v>139</v>
      </c>
      <c r="E22" s="47">
        <v>280473.68194719177</v>
      </c>
      <c r="F22" s="29">
        <f>+E22*$E$21</f>
        <v>4319294.7019867534</v>
      </c>
      <c r="G22" s="30">
        <f>+F22*$G$16</f>
        <v>1295788.4105960259</v>
      </c>
      <c r="H22" s="29">
        <v>10000</v>
      </c>
      <c r="I22" s="29">
        <v>2000</v>
      </c>
      <c r="J22" s="31">
        <f>+(F22-G22)/H22+(F22*0.5*10%)/(I22)</f>
        <v>410.33299668874156</v>
      </c>
      <c r="K22" s="31">
        <f>+(F22-G22)/H22*$K$16</f>
        <v>241.8805033112582</v>
      </c>
      <c r="L22" s="32" t="s">
        <v>70</v>
      </c>
      <c r="M22" s="33">
        <v>12.89</v>
      </c>
      <c r="N22" s="63">
        <f>0.12</f>
        <v>0.12</v>
      </c>
      <c r="O22" s="34">
        <f>+N22*D22</f>
        <v>16.68</v>
      </c>
      <c r="P22" s="34">
        <f t="shared" ref="P22:P51" si="0">ROUND(O22*M22,2)</f>
        <v>215.01</v>
      </c>
      <c r="Q22" s="34">
        <f t="shared" ref="Q22:Q37" si="1">+P22*$Q$16</f>
        <v>64.503</v>
      </c>
      <c r="R22" s="35">
        <f>+P22+Q22</f>
        <v>279.51299999999998</v>
      </c>
      <c r="S22" s="51">
        <f t="shared" ref="S22:S37" si="2">+R22+K22+J22</f>
        <v>931.72649999999976</v>
      </c>
      <c r="T22">
        <v>931.72649999999999</v>
      </c>
      <c r="U22" s="72">
        <f>1-S22/T22</f>
        <v>0</v>
      </c>
      <c r="W22" s="47">
        <v>300000</v>
      </c>
    </row>
    <row r="23" spans="1:23" s="39" customFormat="1" x14ac:dyDescent="0.2">
      <c r="A23" s="54"/>
      <c r="B23" s="55"/>
      <c r="C23" s="56" t="s">
        <v>52</v>
      </c>
      <c r="D23" s="57">
        <v>230</v>
      </c>
      <c r="E23" s="47">
        <v>93650.675152662036</v>
      </c>
      <c r="F23" s="29">
        <f>+E23*$E$21</f>
        <v>1442220.3973509953</v>
      </c>
      <c r="G23" s="30">
        <f>+F23*$G$16</f>
        <v>432666.1192052986</v>
      </c>
      <c r="H23" s="29">
        <v>10000</v>
      </c>
      <c r="I23" s="29">
        <v>2000</v>
      </c>
      <c r="J23" s="31">
        <f>+(F23-G23)/H23+(F23*0.5*10%)/(I23)</f>
        <v>137.01093774834456</v>
      </c>
      <c r="K23" s="31">
        <f>+(F23-G23)/H23*$K$16</f>
        <v>80.764342251655748</v>
      </c>
      <c r="L23" s="32" t="s">
        <v>70</v>
      </c>
      <c r="M23" s="33">
        <v>12.89</v>
      </c>
      <c r="N23" s="63">
        <v>0.05</v>
      </c>
      <c r="O23" s="53">
        <f t="shared" ref="O23" si="3">+N23*D23</f>
        <v>11.5</v>
      </c>
      <c r="P23" s="53">
        <f t="shared" ref="P23" si="4">ROUND(O23*M23,2)</f>
        <v>148.24</v>
      </c>
      <c r="Q23" s="53">
        <f t="shared" ref="Q23" si="5">+P23*$Q$16</f>
        <v>44.472000000000001</v>
      </c>
      <c r="R23" s="35">
        <f t="shared" ref="R23" si="6">+P23+Q23</f>
        <v>192.71200000000002</v>
      </c>
      <c r="S23" s="35">
        <f t="shared" ref="S23" si="7">+R23+K23+J23</f>
        <v>410.48728000000028</v>
      </c>
      <c r="T23">
        <v>410.48728019999999</v>
      </c>
      <c r="U23" s="72">
        <f t="shared" ref="U23:U62" si="8">1-S23/T23</f>
        <v>4.8722514911503367E-10</v>
      </c>
      <c r="W23" s="47">
        <v>89904</v>
      </c>
    </row>
    <row r="24" spans="1:23" x14ac:dyDescent="0.2">
      <c r="A24" s="26"/>
      <c r="B24" s="27"/>
      <c r="C24" s="28" t="s">
        <v>53</v>
      </c>
      <c r="D24" s="33">
        <v>2</v>
      </c>
      <c r="E24" s="47">
        <v>340.87593257806066</v>
      </c>
      <c r="F24" s="29">
        <f t="shared" ref="F24:F51" si="9">+E24*$E$21</f>
        <v>5249.4893617021344</v>
      </c>
      <c r="G24" s="30">
        <f t="shared" ref="G24:G51" si="10">+F24*$G$16</f>
        <v>1574.8468085106404</v>
      </c>
      <c r="H24" s="29">
        <v>6000</v>
      </c>
      <c r="I24" s="29">
        <v>2000</v>
      </c>
      <c r="J24" s="31">
        <f t="shared" ref="J24:J51" si="11">+(F24-G24)/H24+(F24*0.5*10%)/(I24)</f>
        <v>0.74367765957446896</v>
      </c>
      <c r="K24" s="31">
        <f t="shared" ref="K24:K51" si="12">+(F24-G24)/H24*$K$16</f>
        <v>0.48995234042553248</v>
      </c>
      <c r="L24" s="32" t="s">
        <v>70</v>
      </c>
      <c r="M24" s="33">
        <v>12.89</v>
      </c>
      <c r="N24" s="63">
        <v>0.12</v>
      </c>
      <c r="O24" s="34">
        <f t="shared" ref="O24:O51" si="13">+N24*D24</f>
        <v>0.24</v>
      </c>
      <c r="P24" s="34">
        <f t="shared" si="0"/>
        <v>3.09</v>
      </c>
      <c r="Q24" s="34">
        <f t="shared" si="1"/>
        <v>0.92699999999999994</v>
      </c>
      <c r="R24" s="35">
        <f t="shared" ref="R24:R51" si="14">+P24+Q24</f>
        <v>4.0169999999999995</v>
      </c>
      <c r="S24" s="35">
        <f t="shared" si="2"/>
        <v>5.250630000000001</v>
      </c>
      <c r="T24">
        <v>5.2506300000000001</v>
      </c>
      <c r="U24" s="72">
        <f t="shared" si="8"/>
        <v>0</v>
      </c>
      <c r="W24" s="47">
        <v>1500</v>
      </c>
    </row>
    <row r="25" spans="1:23" x14ac:dyDescent="0.2">
      <c r="A25" s="26"/>
      <c r="B25" s="27"/>
      <c r="C25" s="28" t="s">
        <v>55</v>
      </c>
      <c r="D25" s="33">
        <v>220</v>
      </c>
      <c r="E25" s="47">
        <v>515362.94830996887</v>
      </c>
      <c r="F25" s="29">
        <f t="shared" si="9"/>
        <v>7936589.4039735207</v>
      </c>
      <c r="G25" s="30">
        <f t="shared" si="10"/>
        <v>2380976.8211920559</v>
      </c>
      <c r="H25" s="29">
        <v>10000</v>
      </c>
      <c r="I25" s="29">
        <v>2000</v>
      </c>
      <c r="J25" s="31">
        <f t="shared" si="11"/>
        <v>753.97599337748454</v>
      </c>
      <c r="K25" s="31">
        <f t="shared" si="12"/>
        <v>444.44900662251723</v>
      </c>
      <c r="L25" s="32" t="s">
        <v>70</v>
      </c>
      <c r="M25" s="33">
        <v>12.89</v>
      </c>
      <c r="N25" s="63">
        <v>0.12</v>
      </c>
      <c r="O25" s="34">
        <f t="shared" si="13"/>
        <v>26.4</v>
      </c>
      <c r="P25" s="34">
        <f t="shared" si="0"/>
        <v>340.3</v>
      </c>
      <c r="Q25" s="34">
        <f t="shared" si="1"/>
        <v>102.09</v>
      </c>
      <c r="R25" s="35">
        <f t="shared" si="14"/>
        <v>442.39</v>
      </c>
      <c r="S25" s="35">
        <f t="shared" si="2"/>
        <v>1640.8150000000019</v>
      </c>
      <c r="T25">
        <v>1640.8150000000001</v>
      </c>
      <c r="U25" s="72">
        <f t="shared" si="8"/>
        <v>0</v>
      </c>
      <c r="W25" s="47">
        <v>550000</v>
      </c>
    </row>
    <row r="26" spans="1:23" x14ac:dyDescent="0.2">
      <c r="A26" s="26"/>
      <c r="B26" s="27"/>
      <c r="C26" s="28" t="s">
        <v>63</v>
      </c>
      <c r="D26" s="33">
        <v>128</v>
      </c>
      <c r="E26" s="47">
        <v>155877.39783152621</v>
      </c>
      <c r="F26" s="29">
        <f t="shared" si="9"/>
        <v>2400511.9266055035</v>
      </c>
      <c r="G26" s="30">
        <f t="shared" si="10"/>
        <v>720153.57798165106</v>
      </c>
      <c r="H26" s="29">
        <v>15000</v>
      </c>
      <c r="I26" s="29">
        <v>2000</v>
      </c>
      <c r="J26" s="31">
        <f t="shared" si="11"/>
        <v>172.03668807339443</v>
      </c>
      <c r="K26" s="31">
        <f t="shared" si="12"/>
        <v>89.61911192660547</v>
      </c>
      <c r="L26" s="32" t="s">
        <v>70</v>
      </c>
      <c r="M26" s="33">
        <v>12.89</v>
      </c>
      <c r="N26" s="63">
        <v>0.15</v>
      </c>
      <c r="O26" s="34">
        <f t="shared" si="13"/>
        <v>19.2</v>
      </c>
      <c r="P26" s="34">
        <f t="shared" si="0"/>
        <v>247.49</v>
      </c>
      <c r="Q26" s="34">
        <f t="shared" si="1"/>
        <v>74.247</v>
      </c>
      <c r="R26" s="35">
        <f t="shared" si="14"/>
        <v>321.73700000000002</v>
      </c>
      <c r="S26" s="35">
        <f t="shared" si="2"/>
        <v>583.39279999999985</v>
      </c>
      <c r="T26">
        <v>583.39279999999997</v>
      </c>
      <c r="U26" s="72">
        <f t="shared" si="8"/>
        <v>0</v>
      </c>
      <c r="W26" s="47">
        <v>152000</v>
      </c>
    </row>
    <row r="27" spans="1:23" s="39" customFormat="1" x14ac:dyDescent="0.2">
      <c r="A27" s="54"/>
      <c r="B27" s="27"/>
      <c r="C27" s="28" t="s">
        <v>75</v>
      </c>
      <c r="D27" s="33">
        <v>222</v>
      </c>
      <c r="E27" s="47">
        <v>302202.43059692584</v>
      </c>
      <c r="F27" s="29">
        <f>+E27*$E$21</f>
        <v>4653917.4311926579</v>
      </c>
      <c r="G27" s="30">
        <f t="shared" si="10"/>
        <v>1396175.2293577974</v>
      </c>
      <c r="H27" s="29">
        <v>15000</v>
      </c>
      <c r="I27" s="29">
        <v>2000</v>
      </c>
      <c r="J27" s="31">
        <f t="shared" si="11"/>
        <v>333.53074923547376</v>
      </c>
      <c r="K27" s="31">
        <f t="shared" si="12"/>
        <v>173.74625076452588</v>
      </c>
      <c r="L27" s="32" t="s">
        <v>70</v>
      </c>
      <c r="M27" s="33">
        <v>12.89</v>
      </c>
      <c r="N27" s="63">
        <v>0.12</v>
      </c>
      <c r="O27" s="34">
        <f t="shared" si="13"/>
        <v>26.64</v>
      </c>
      <c r="P27" s="34">
        <f t="shared" si="0"/>
        <v>343.39</v>
      </c>
      <c r="Q27" s="34">
        <f t="shared" si="1"/>
        <v>103.017</v>
      </c>
      <c r="R27" s="35">
        <f t="shared" si="14"/>
        <v>446.40699999999998</v>
      </c>
      <c r="S27" s="35">
        <f t="shared" si="2"/>
        <v>953.68399999999963</v>
      </c>
      <c r="T27">
        <v>953.68399999999997</v>
      </c>
      <c r="U27" s="72">
        <f t="shared" si="8"/>
        <v>0</v>
      </c>
      <c r="W27" s="47">
        <v>278000</v>
      </c>
    </row>
    <row r="28" spans="1:23" s="39" customFormat="1" x14ac:dyDescent="0.2">
      <c r="A28" s="54"/>
      <c r="B28" s="27"/>
      <c r="C28" s="28" t="s">
        <v>78</v>
      </c>
      <c r="D28" s="33">
        <v>233</v>
      </c>
      <c r="E28" s="47">
        <v>88742.413836163832</v>
      </c>
      <c r="F28" s="29">
        <f t="shared" si="9"/>
        <v>1366633.173076923</v>
      </c>
      <c r="G28" s="30">
        <f t="shared" si="10"/>
        <v>409989.95192307688</v>
      </c>
      <c r="H28" s="29">
        <v>12000</v>
      </c>
      <c r="I28" s="29">
        <v>2000</v>
      </c>
      <c r="J28" s="31">
        <f t="shared" si="11"/>
        <v>113.88609775641027</v>
      </c>
      <c r="K28" s="31">
        <f>+(F28-G28)/H28*$K$16</f>
        <v>63.776214743589748</v>
      </c>
      <c r="L28" s="32" t="s">
        <v>70</v>
      </c>
      <c r="M28" s="33">
        <v>12.89</v>
      </c>
      <c r="N28" s="63">
        <v>0.06</v>
      </c>
      <c r="O28" s="34">
        <f t="shared" si="13"/>
        <v>13.979999999999999</v>
      </c>
      <c r="P28" s="34">
        <f t="shared" si="0"/>
        <v>180.2</v>
      </c>
      <c r="Q28" s="34">
        <f t="shared" si="1"/>
        <v>54.059999999999995</v>
      </c>
      <c r="R28" s="35">
        <f t="shared" si="14"/>
        <v>234.26</v>
      </c>
      <c r="S28" s="35">
        <f t="shared" si="2"/>
        <v>411.92231250000003</v>
      </c>
      <c r="T28">
        <v>411.92231249999998</v>
      </c>
      <c r="U28" s="72">
        <f t="shared" si="8"/>
        <v>0</v>
      </c>
      <c r="W28" s="47">
        <v>89000</v>
      </c>
    </row>
    <row r="29" spans="1:23" s="39" customFormat="1" x14ac:dyDescent="0.2">
      <c r="A29" s="54"/>
      <c r="B29" s="27"/>
      <c r="C29" s="28" t="s">
        <v>79</v>
      </c>
      <c r="D29" s="33">
        <v>128</v>
      </c>
      <c r="E29" s="47">
        <v>63766.442273323024</v>
      </c>
      <c r="F29" s="29">
        <f t="shared" si="9"/>
        <v>982003.21100917459</v>
      </c>
      <c r="G29" s="30">
        <f t="shared" si="10"/>
        <v>294600.96330275235</v>
      </c>
      <c r="H29" s="29">
        <v>15000</v>
      </c>
      <c r="I29" s="29">
        <v>2000</v>
      </c>
      <c r="J29" s="31">
        <f t="shared" si="11"/>
        <v>70.376896788990848</v>
      </c>
      <c r="K29" s="31">
        <f t="shared" si="12"/>
        <v>36.661453211009182</v>
      </c>
      <c r="L29" s="32" t="s">
        <v>70</v>
      </c>
      <c r="M29" s="33">
        <v>12.89</v>
      </c>
      <c r="N29" s="63">
        <v>0.06</v>
      </c>
      <c r="O29" s="34">
        <f t="shared" si="13"/>
        <v>7.68</v>
      </c>
      <c r="P29" s="34">
        <f t="shared" si="0"/>
        <v>99</v>
      </c>
      <c r="Q29" s="34">
        <f t="shared" si="1"/>
        <v>29.7</v>
      </c>
      <c r="R29" s="35">
        <f t="shared" si="14"/>
        <v>128.69999999999999</v>
      </c>
      <c r="S29" s="35">
        <f t="shared" si="2"/>
        <v>235.73835000000003</v>
      </c>
      <c r="T29">
        <v>235.73835</v>
      </c>
      <c r="U29" s="72">
        <f t="shared" si="8"/>
        <v>0</v>
      </c>
      <c r="W29" s="47">
        <v>53900</v>
      </c>
    </row>
    <row r="30" spans="1:23" x14ac:dyDescent="0.2">
      <c r="A30" s="26"/>
      <c r="B30" s="55"/>
      <c r="C30" s="28" t="s">
        <v>66</v>
      </c>
      <c r="D30" s="33">
        <f t="shared" ref="D30:R30" si="15">D28</f>
        <v>233</v>
      </c>
      <c r="E30" s="47">
        <f t="shared" si="15"/>
        <v>88742.413836163832</v>
      </c>
      <c r="F30" s="29">
        <f t="shared" si="15"/>
        <v>1366633.173076923</v>
      </c>
      <c r="G30" s="30">
        <f t="shared" si="15"/>
        <v>409989.95192307688</v>
      </c>
      <c r="H30" s="29">
        <f t="shared" si="15"/>
        <v>12000</v>
      </c>
      <c r="I30" s="29">
        <f t="shared" si="15"/>
        <v>2000</v>
      </c>
      <c r="J30" s="31">
        <f t="shared" si="15"/>
        <v>113.88609775641027</v>
      </c>
      <c r="K30" s="31">
        <f t="shared" si="15"/>
        <v>63.776214743589748</v>
      </c>
      <c r="L30" s="32" t="str">
        <f t="shared" si="15"/>
        <v>Gas Oil</v>
      </c>
      <c r="M30" s="33">
        <f t="shared" si="15"/>
        <v>12.89</v>
      </c>
      <c r="N30" s="63">
        <f t="shared" si="15"/>
        <v>0.06</v>
      </c>
      <c r="O30" s="34">
        <f t="shared" si="15"/>
        <v>13.979999999999999</v>
      </c>
      <c r="P30" s="34">
        <f t="shared" si="15"/>
        <v>180.2</v>
      </c>
      <c r="Q30" s="34">
        <f t="shared" si="15"/>
        <v>54.059999999999995</v>
      </c>
      <c r="R30" s="35">
        <f t="shared" si="15"/>
        <v>234.26</v>
      </c>
      <c r="S30" s="35">
        <f>S28</f>
        <v>411.92231250000003</v>
      </c>
      <c r="T30">
        <v>411.92231249999998</v>
      </c>
      <c r="U30" s="72">
        <f t="shared" si="8"/>
        <v>0</v>
      </c>
      <c r="W30" s="47">
        <v>89000</v>
      </c>
    </row>
    <row r="31" spans="1:23" x14ac:dyDescent="0.2">
      <c r="A31" s="26"/>
      <c r="B31" s="27"/>
      <c r="C31" s="28" t="s">
        <v>81</v>
      </c>
      <c r="D31" s="33">
        <v>227</v>
      </c>
      <c r="E31" s="47">
        <v>62574.039090048958</v>
      </c>
      <c r="F31" s="29">
        <f t="shared" si="9"/>
        <v>963640.20198675396</v>
      </c>
      <c r="G31" s="30">
        <f t="shared" si="10"/>
        <v>289092.06059602619</v>
      </c>
      <c r="H31" s="29">
        <v>10000</v>
      </c>
      <c r="I31" s="29">
        <v>2000</v>
      </c>
      <c r="J31" s="31">
        <f t="shared" si="11"/>
        <v>91.545819188741632</v>
      </c>
      <c r="K31" s="31">
        <f t="shared" si="12"/>
        <v>53.963851311258225</v>
      </c>
      <c r="L31" s="32" t="s">
        <v>70</v>
      </c>
      <c r="M31" s="33">
        <v>12.89</v>
      </c>
      <c r="N31" s="63">
        <v>8.1299999999999997E-2</v>
      </c>
      <c r="O31" s="34">
        <f t="shared" si="13"/>
        <v>18.455099999999998</v>
      </c>
      <c r="P31" s="34">
        <f t="shared" si="0"/>
        <v>237.89</v>
      </c>
      <c r="Q31" s="34">
        <f t="shared" si="1"/>
        <v>71.36699999999999</v>
      </c>
      <c r="R31" s="35">
        <f t="shared" si="14"/>
        <v>309.25699999999995</v>
      </c>
      <c r="S31" s="35">
        <f t="shared" si="2"/>
        <v>454.7666704999998</v>
      </c>
      <c r="T31">
        <v>454.76667049999998</v>
      </c>
      <c r="U31" s="72">
        <f t="shared" si="8"/>
        <v>0</v>
      </c>
      <c r="W31" s="47">
        <v>115042</v>
      </c>
    </row>
    <row r="32" spans="1:23" x14ac:dyDescent="0.2">
      <c r="A32" s="26"/>
      <c r="B32" s="55"/>
      <c r="C32" s="28" t="s">
        <v>82</v>
      </c>
      <c r="D32" s="33">
        <v>207</v>
      </c>
      <c r="E32" s="47">
        <v>64866.02704634823</v>
      </c>
      <c r="F32" s="29">
        <f t="shared" si="9"/>
        <v>998936.81651376281</v>
      </c>
      <c r="G32" s="30">
        <f>+F32*$G$16</f>
        <v>299681.04495412885</v>
      </c>
      <c r="H32" s="29">
        <v>15000</v>
      </c>
      <c r="I32" s="29">
        <v>2000</v>
      </c>
      <c r="J32" s="31">
        <f t="shared" si="11"/>
        <v>71.590471850153008</v>
      </c>
      <c r="K32" s="31">
        <f t="shared" si="12"/>
        <v>37.293641149847154</v>
      </c>
      <c r="L32" s="32" t="s">
        <v>70</v>
      </c>
      <c r="M32" s="33">
        <v>12.89</v>
      </c>
      <c r="N32" s="63">
        <v>8.1299999999999997E-2</v>
      </c>
      <c r="O32" s="34">
        <f t="shared" si="13"/>
        <v>16.8291</v>
      </c>
      <c r="P32" s="34">
        <f t="shared" si="0"/>
        <v>216.93</v>
      </c>
      <c r="Q32" s="34">
        <f t="shared" si="1"/>
        <v>65.078999999999994</v>
      </c>
      <c r="R32" s="35">
        <f t="shared" si="14"/>
        <v>282.00900000000001</v>
      </c>
      <c r="S32" s="35">
        <f t="shared" si="2"/>
        <v>390.89311300000014</v>
      </c>
      <c r="T32">
        <v>390.89311300000003</v>
      </c>
      <c r="U32" s="72">
        <f t="shared" si="8"/>
        <v>0</v>
      </c>
      <c r="W32" s="47">
        <v>92287</v>
      </c>
    </row>
    <row r="33" spans="1:23" x14ac:dyDescent="0.2">
      <c r="A33" s="26"/>
      <c r="B33" s="27"/>
      <c r="C33" s="28" t="s">
        <v>83</v>
      </c>
      <c r="D33" s="33">
        <v>0</v>
      </c>
      <c r="E33" s="47">
        <v>-34.097402597402599</v>
      </c>
      <c r="F33" s="29">
        <f t="shared" si="9"/>
        <v>-525.1</v>
      </c>
      <c r="G33" s="30">
        <f t="shared" si="10"/>
        <v>-157.53</v>
      </c>
      <c r="H33" s="29">
        <v>10000</v>
      </c>
      <c r="I33" s="29">
        <v>2000</v>
      </c>
      <c r="J33" s="31">
        <f t="shared" si="11"/>
        <v>-4.9884500000000005E-2</v>
      </c>
      <c r="K33" s="31">
        <f t="shared" si="12"/>
        <v>-2.9405600000000004E-2</v>
      </c>
      <c r="L33" s="32" t="s">
        <v>70</v>
      </c>
      <c r="M33" s="33">
        <v>12.89</v>
      </c>
      <c r="N33" s="63">
        <v>0.12</v>
      </c>
      <c r="O33" s="34">
        <f t="shared" si="13"/>
        <v>0</v>
      </c>
      <c r="P33" s="34">
        <f t="shared" si="0"/>
        <v>0</v>
      </c>
      <c r="Q33" s="34">
        <f t="shared" si="1"/>
        <v>0</v>
      </c>
      <c r="R33" s="35">
        <f t="shared" si="14"/>
        <v>0</v>
      </c>
      <c r="S33" s="35">
        <f t="shared" si="2"/>
        <v>-7.9290100000000002E-2</v>
      </c>
      <c r="T33">
        <v>1.9357099</v>
      </c>
      <c r="U33" s="72">
        <f t="shared" si="8"/>
        <v>1.0409617680831202</v>
      </c>
      <c r="W33" s="47">
        <v>1</v>
      </c>
    </row>
    <row r="34" spans="1:23" x14ac:dyDescent="0.2">
      <c r="A34" s="26"/>
      <c r="B34" s="55"/>
      <c r="C34" s="28" t="s">
        <v>84</v>
      </c>
      <c r="D34" s="33">
        <v>40</v>
      </c>
      <c r="E34" s="47">
        <v>22429.044465468374</v>
      </c>
      <c r="F34" s="29">
        <f t="shared" si="9"/>
        <v>345407.28476821299</v>
      </c>
      <c r="G34" s="30">
        <f t="shared" si="10"/>
        <v>103622.1854304639</v>
      </c>
      <c r="H34" s="29">
        <v>10000</v>
      </c>
      <c r="I34" s="29">
        <v>2000</v>
      </c>
      <c r="J34" s="31">
        <f t="shared" si="11"/>
        <v>32.81369205298023</v>
      </c>
      <c r="K34" s="31">
        <f t="shared" si="12"/>
        <v>19.342807947019928</v>
      </c>
      <c r="L34" s="32" t="s">
        <v>70</v>
      </c>
      <c r="M34" s="33">
        <v>12.89</v>
      </c>
      <c r="N34" s="63">
        <v>0.12</v>
      </c>
      <c r="O34" s="34">
        <f t="shared" si="13"/>
        <v>4.8</v>
      </c>
      <c r="P34" s="34">
        <f t="shared" si="0"/>
        <v>61.87</v>
      </c>
      <c r="Q34" s="34">
        <f t="shared" si="1"/>
        <v>18.561</v>
      </c>
      <c r="R34" s="35">
        <f t="shared" si="14"/>
        <v>80.430999999999997</v>
      </c>
      <c r="S34" s="35">
        <f t="shared" si="2"/>
        <v>132.58750000000015</v>
      </c>
      <c r="T34">
        <v>132.58750000000001</v>
      </c>
      <c r="U34" s="72">
        <f t="shared" si="8"/>
        <v>0</v>
      </c>
      <c r="W34" s="47">
        <v>25000</v>
      </c>
    </row>
    <row r="35" spans="1:23" x14ac:dyDescent="0.2">
      <c r="A35" s="26"/>
      <c r="B35" s="27"/>
      <c r="C35" s="28" t="s">
        <v>85</v>
      </c>
      <c r="D35" s="33">
        <v>2</v>
      </c>
      <c r="E35" s="47">
        <v>78700</v>
      </c>
      <c r="F35" s="29">
        <f t="shared" si="9"/>
        <v>1211980</v>
      </c>
      <c r="G35" s="30">
        <f t="shared" si="10"/>
        <v>363594</v>
      </c>
      <c r="H35" s="29">
        <v>10000</v>
      </c>
      <c r="I35" s="29">
        <v>2000</v>
      </c>
      <c r="J35" s="31">
        <f t="shared" si="11"/>
        <v>115.13809999999999</v>
      </c>
      <c r="K35" s="31">
        <f t="shared" si="12"/>
        <v>67.87088</v>
      </c>
      <c r="L35" s="32" t="s">
        <v>70</v>
      </c>
      <c r="M35" s="33">
        <v>12.89</v>
      </c>
      <c r="N35" s="63">
        <v>0.12</v>
      </c>
      <c r="O35" s="34">
        <f t="shared" si="13"/>
        <v>0.24</v>
      </c>
      <c r="P35" s="34">
        <f t="shared" si="0"/>
        <v>3.09</v>
      </c>
      <c r="Q35" s="34">
        <f t="shared" si="1"/>
        <v>0.92699999999999994</v>
      </c>
      <c r="R35" s="35">
        <f t="shared" si="14"/>
        <v>4.0169999999999995</v>
      </c>
      <c r="S35" s="35">
        <f t="shared" si="2"/>
        <v>187.02598</v>
      </c>
      <c r="T35">
        <v>275.48305399999998</v>
      </c>
      <c r="U35" s="72">
        <f t="shared" si="8"/>
        <v>0.32109805926574342</v>
      </c>
      <c r="W35" s="47">
        <v>78700</v>
      </c>
    </row>
    <row r="36" spans="1:23" x14ac:dyDescent="0.2">
      <c r="A36" s="26"/>
      <c r="B36" s="55"/>
      <c r="C36" s="28" t="s">
        <v>61</v>
      </c>
      <c r="D36" s="33">
        <v>160</v>
      </c>
      <c r="E36" s="47">
        <v>89710.587425819467</v>
      </c>
      <c r="F36" s="29">
        <f t="shared" si="9"/>
        <v>1381543.0463576198</v>
      </c>
      <c r="G36" s="30">
        <f t="shared" si="10"/>
        <v>414462.91390728595</v>
      </c>
      <c r="H36" s="29">
        <v>10000</v>
      </c>
      <c r="I36" s="29">
        <v>2000</v>
      </c>
      <c r="J36" s="31">
        <f t="shared" si="11"/>
        <v>131.24658940397387</v>
      </c>
      <c r="K36" s="31">
        <f t="shared" si="12"/>
        <v>77.366410596026711</v>
      </c>
      <c r="L36" s="32" t="s">
        <v>70</v>
      </c>
      <c r="M36" s="33">
        <v>12.89</v>
      </c>
      <c r="N36" s="63">
        <v>0.12</v>
      </c>
      <c r="O36" s="34">
        <f t="shared" si="13"/>
        <v>19.2</v>
      </c>
      <c r="P36" s="34">
        <f t="shared" si="0"/>
        <v>247.49</v>
      </c>
      <c r="Q36" s="34">
        <f t="shared" si="1"/>
        <v>74.247</v>
      </c>
      <c r="R36" s="35">
        <f t="shared" si="14"/>
        <v>321.73700000000002</v>
      </c>
      <c r="S36" s="35">
        <f t="shared" si="2"/>
        <v>530.35000000000059</v>
      </c>
      <c r="T36">
        <v>530.35</v>
      </c>
      <c r="U36" s="72">
        <f t="shared" si="8"/>
        <v>0</v>
      </c>
      <c r="W36" s="47">
        <v>100000</v>
      </c>
    </row>
    <row r="37" spans="1:23" ht="12.75" customHeight="1" x14ac:dyDescent="0.2">
      <c r="A37" s="26"/>
      <c r="B37" s="27"/>
      <c r="C37" s="28" t="s">
        <v>86</v>
      </c>
      <c r="D37" s="33">
        <v>249</v>
      </c>
      <c r="E37" s="49">
        <v>70000</v>
      </c>
      <c r="F37" s="29">
        <f t="shared" si="9"/>
        <v>1078000</v>
      </c>
      <c r="G37" s="30">
        <f t="shared" si="10"/>
        <v>323400</v>
      </c>
      <c r="H37" s="29">
        <v>10000</v>
      </c>
      <c r="I37" s="29">
        <v>2000</v>
      </c>
      <c r="J37" s="31">
        <f t="shared" si="11"/>
        <v>102.41</v>
      </c>
      <c r="K37" s="31">
        <f t="shared" si="12"/>
        <v>60.367999999999995</v>
      </c>
      <c r="L37" s="32" t="s">
        <v>70</v>
      </c>
      <c r="M37" s="33">
        <v>12.89</v>
      </c>
      <c r="N37" s="63">
        <v>0.12</v>
      </c>
      <c r="O37" s="34">
        <f t="shared" si="13"/>
        <v>29.88</v>
      </c>
      <c r="P37" s="34">
        <f t="shared" si="0"/>
        <v>385.15</v>
      </c>
      <c r="Q37" s="34">
        <f t="shared" si="1"/>
        <v>115.54499999999999</v>
      </c>
      <c r="R37" s="35">
        <f t="shared" si="14"/>
        <v>500.69499999999994</v>
      </c>
      <c r="S37" s="35">
        <f t="shared" si="2"/>
        <v>663.47299999999984</v>
      </c>
      <c r="T37">
        <v>636.1345</v>
      </c>
      <c r="U37" s="72">
        <f t="shared" si="8"/>
        <v>-4.2975974420503604E-2</v>
      </c>
      <c r="W37" s="49">
        <v>70000</v>
      </c>
    </row>
    <row r="38" spans="1:23" x14ac:dyDescent="0.2">
      <c r="B38" s="55"/>
      <c r="C38" s="37" t="s">
        <v>62</v>
      </c>
      <c r="D38" s="50">
        <v>98</v>
      </c>
      <c r="E38" s="48">
        <v>70000</v>
      </c>
      <c r="F38" s="29">
        <f t="shared" si="9"/>
        <v>1078000</v>
      </c>
      <c r="G38" s="30">
        <f t="shared" si="10"/>
        <v>323400</v>
      </c>
      <c r="H38" s="29">
        <v>10000</v>
      </c>
      <c r="I38" s="29">
        <v>2000</v>
      </c>
      <c r="J38" s="31">
        <f t="shared" si="11"/>
        <v>102.41</v>
      </c>
      <c r="K38" s="31">
        <f t="shared" si="12"/>
        <v>60.367999999999995</v>
      </c>
      <c r="L38" s="32" t="s">
        <v>70</v>
      </c>
      <c r="M38" s="33">
        <v>12.89</v>
      </c>
      <c r="N38" s="63">
        <v>0.12</v>
      </c>
      <c r="O38" s="34">
        <f t="shared" si="13"/>
        <v>11.76</v>
      </c>
      <c r="P38" s="53">
        <f t="shared" si="0"/>
        <v>151.59</v>
      </c>
      <c r="Q38" s="34">
        <f t="shared" ref="Q38:Q51" si="16">+P38*$Q$16</f>
        <v>45.476999999999997</v>
      </c>
      <c r="R38" s="35">
        <f t="shared" si="14"/>
        <v>197.06700000000001</v>
      </c>
      <c r="S38" s="35">
        <f t="shared" ref="S38:S51" si="17">+R38+K38+J38</f>
        <v>359.84500000000003</v>
      </c>
      <c r="T38">
        <v>344.17599999999999</v>
      </c>
      <c r="U38" s="72">
        <f t="shared" si="8"/>
        <v>-4.5526126168007108E-2</v>
      </c>
      <c r="W38" s="48">
        <v>70000</v>
      </c>
    </row>
    <row r="39" spans="1:23" x14ac:dyDescent="0.2">
      <c r="B39" s="27"/>
      <c r="C39" s="37" t="s">
        <v>59</v>
      </c>
      <c r="D39" s="50">
        <v>217</v>
      </c>
      <c r="E39" s="48">
        <v>64941</v>
      </c>
      <c r="F39" s="29">
        <f t="shared" si="9"/>
        <v>1000091.4</v>
      </c>
      <c r="G39" s="30">
        <f t="shared" si="10"/>
        <v>300027.42</v>
      </c>
      <c r="H39" s="29">
        <v>10000</v>
      </c>
      <c r="I39" s="29">
        <v>2000</v>
      </c>
      <c r="J39" s="31">
        <f t="shared" si="11"/>
        <v>95.008683000000005</v>
      </c>
      <c r="K39" s="31">
        <f t="shared" si="12"/>
        <v>56.005118400000008</v>
      </c>
      <c r="L39" s="32" t="s">
        <v>70</v>
      </c>
      <c r="M39" s="33">
        <v>12.89</v>
      </c>
      <c r="N39" s="63">
        <v>0.12</v>
      </c>
      <c r="O39" s="34">
        <f t="shared" si="13"/>
        <v>26.04</v>
      </c>
      <c r="P39" s="53">
        <f t="shared" si="0"/>
        <v>335.66</v>
      </c>
      <c r="Q39" s="34">
        <f t="shared" si="16"/>
        <v>100.69800000000001</v>
      </c>
      <c r="R39" s="35">
        <f t="shared" si="14"/>
        <v>436.35800000000006</v>
      </c>
      <c r="S39" s="35">
        <f t="shared" si="17"/>
        <v>587.37180140000009</v>
      </c>
      <c r="T39">
        <v>370.77992840000002</v>
      </c>
      <c r="U39" s="72">
        <f t="shared" si="8"/>
        <v>-0.58415209780810806</v>
      </c>
      <c r="W39" s="48">
        <v>64941</v>
      </c>
    </row>
    <row r="40" spans="1:23" x14ac:dyDescent="0.2">
      <c r="B40" s="55"/>
      <c r="C40" s="37" t="s">
        <v>50</v>
      </c>
      <c r="D40" s="50">
        <v>145</v>
      </c>
      <c r="E40" s="48">
        <v>107000</v>
      </c>
      <c r="F40" s="29">
        <f t="shared" si="9"/>
        <v>1647800</v>
      </c>
      <c r="G40" s="30">
        <f t="shared" si="10"/>
        <v>494340</v>
      </c>
      <c r="H40" s="29">
        <v>10000</v>
      </c>
      <c r="I40" s="29">
        <v>2000</v>
      </c>
      <c r="J40" s="31">
        <f t="shared" si="11"/>
        <v>156.541</v>
      </c>
      <c r="K40" s="31">
        <f t="shared" si="12"/>
        <v>92.276800000000009</v>
      </c>
      <c r="L40" s="32" t="s">
        <v>70</v>
      </c>
      <c r="M40" s="33">
        <v>12.89</v>
      </c>
      <c r="N40" s="63">
        <v>0.12</v>
      </c>
      <c r="O40" s="34">
        <f t="shared" si="13"/>
        <v>17.399999999999999</v>
      </c>
      <c r="P40" s="53">
        <f t="shared" si="0"/>
        <v>224.29</v>
      </c>
      <c r="Q40" s="34">
        <f t="shared" si="16"/>
        <v>67.286999999999992</v>
      </c>
      <c r="R40" s="35">
        <f t="shared" si="14"/>
        <v>291.577</v>
      </c>
      <c r="S40" s="35">
        <f t="shared" si="17"/>
        <v>540.39480000000003</v>
      </c>
      <c r="T40">
        <v>516.81679999999994</v>
      </c>
      <c r="U40" s="72">
        <f t="shared" si="8"/>
        <v>-4.5621581960958002E-2</v>
      </c>
      <c r="W40" s="48">
        <v>107000</v>
      </c>
    </row>
    <row r="41" spans="1:23" x14ac:dyDescent="0.2">
      <c r="B41" s="27"/>
      <c r="C41" s="37" t="s">
        <v>68</v>
      </c>
      <c r="D41" s="50">
        <v>100</v>
      </c>
      <c r="E41" s="48">
        <v>107600</v>
      </c>
      <c r="F41" s="29">
        <f t="shared" si="9"/>
        <v>1657040</v>
      </c>
      <c r="G41" s="30">
        <f t="shared" si="10"/>
        <v>497112</v>
      </c>
      <c r="H41" s="29">
        <v>10000</v>
      </c>
      <c r="I41" s="29">
        <v>2000</v>
      </c>
      <c r="J41" s="31">
        <f t="shared" si="11"/>
        <v>157.4188</v>
      </c>
      <c r="K41" s="31">
        <f t="shared" si="12"/>
        <v>92.794240000000002</v>
      </c>
      <c r="L41" s="32" t="s">
        <v>70</v>
      </c>
      <c r="M41" s="33">
        <v>12.89</v>
      </c>
      <c r="N41" s="63">
        <v>0.12</v>
      </c>
      <c r="O41" s="34">
        <f t="shared" si="13"/>
        <v>12</v>
      </c>
      <c r="P41" s="53">
        <f t="shared" si="0"/>
        <v>154.68</v>
      </c>
      <c r="Q41" s="34">
        <f t="shared" si="16"/>
        <v>46.404000000000003</v>
      </c>
      <c r="R41" s="35">
        <f t="shared" si="14"/>
        <v>201.084</v>
      </c>
      <c r="S41" s="35">
        <f t="shared" si="17"/>
        <v>451.29704000000004</v>
      </c>
      <c r="T41">
        <v>431.13524000000001</v>
      </c>
      <c r="U41" s="72">
        <f t="shared" si="8"/>
        <v>-4.6764444493101687E-2</v>
      </c>
      <c r="W41" s="48">
        <v>107600</v>
      </c>
    </row>
    <row r="42" spans="1:23" x14ac:dyDescent="0.2">
      <c r="B42" s="55"/>
      <c r="C42" s="37" t="s">
        <v>67</v>
      </c>
      <c r="D42" s="50">
        <v>173</v>
      </c>
      <c r="E42" s="48">
        <v>410000</v>
      </c>
      <c r="F42" s="29">
        <f t="shared" si="9"/>
        <v>6314000</v>
      </c>
      <c r="G42" s="30">
        <f t="shared" si="10"/>
        <v>1894200</v>
      </c>
      <c r="H42" s="29">
        <v>10000</v>
      </c>
      <c r="I42" s="29">
        <v>2000</v>
      </c>
      <c r="J42" s="31">
        <f t="shared" si="11"/>
        <v>599.83000000000004</v>
      </c>
      <c r="K42" s="31">
        <f t="shared" si="12"/>
        <v>353.58400000000006</v>
      </c>
      <c r="L42" s="32" t="s">
        <v>70</v>
      </c>
      <c r="M42" s="33">
        <v>12.89</v>
      </c>
      <c r="N42" s="63">
        <v>0.12</v>
      </c>
      <c r="O42" s="34">
        <f t="shared" si="13"/>
        <v>20.759999999999998</v>
      </c>
      <c r="P42" s="53">
        <f t="shared" si="0"/>
        <v>267.60000000000002</v>
      </c>
      <c r="Q42" s="34">
        <f t="shared" si="16"/>
        <v>80.28</v>
      </c>
      <c r="R42" s="35">
        <f t="shared" si="14"/>
        <v>347.88</v>
      </c>
      <c r="S42" s="35">
        <f t="shared" si="17"/>
        <v>1301.2940000000001</v>
      </c>
      <c r="T42">
        <v>1240.5545</v>
      </c>
      <c r="U42" s="72">
        <f t="shared" si="8"/>
        <v>-4.8961573231970146E-2</v>
      </c>
      <c r="W42" s="48">
        <v>410000</v>
      </c>
    </row>
    <row r="43" spans="1:23" x14ac:dyDescent="0.2">
      <c r="B43" s="27"/>
      <c r="C43" s="37" t="s">
        <v>69</v>
      </c>
      <c r="D43" s="50">
        <v>250</v>
      </c>
      <c r="E43" s="48">
        <v>400000</v>
      </c>
      <c r="F43" s="29">
        <f t="shared" si="9"/>
        <v>6160000</v>
      </c>
      <c r="G43" s="30">
        <f t="shared" si="10"/>
        <v>1848000</v>
      </c>
      <c r="H43" s="29">
        <v>8000</v>
      </c>
      <c r="I43" s="29">
        <v>2000</v>
      </c>
      <c r="J43" s="31">
        <f t="shared" si="11"/>
        <v>693</v>
      </c>
      <c r="K43" s="31">
        <f t="shared" si="12"/>
        <v>431.20000000000005</v>
      </c>
      <c r="L43" s="32" t="s">
        <v>70</v>
      </c>
      <c r="M43" s="33">
        <v>12.89</v>
      </c>
      <c r="N43" s="63">
        <v>0.12</v>
      </c>
      <c r="O43" s="34">
        <f t="shared" si="13"/>
        <v>30</v>
      </c>
      <c r="P43" s="53">
        <f t="shared" si="0"/>
        <v>386.7</v>
      </c>
      <c r="Q43" s="34">
        <f t="shared" si="16"/>
        <v>116.00999999999999</v>
      </c>
      <c r="R43" s="35">
        <f t="shared" si="14"/>
        <v>502.71</v>
      </c>
      <c r="S43" s="35">
        <f t="shared" si="17"/>
        <v>1626.91</v>
      </c>
      <c r="T43">
        <v>1367.335</v>
      </c>
      <c r="U43" s="72">
        <f t="shared" si="8"/>
        <v>-0.18984009039481919</v>
      </c>
      <c r="W43" s="48">
        <v>400000</v>
      </c>
    </row>
    <row r="44" spans="1:23" x14ac:dyDescent="0.2">
      <c r="B44" s="55"/>
      <c r="C44" s="37" t="s">
        <v>89</v>
      </c>
      <c r="D44" s="50">
        <v>5</v>
      </c>
      <c r="E44" s="48">
        <v>3000</v>
      </c>
      <c r="F44" s="29">
        <f t="shared" si="9"/>
        <v>46200</v>
      </c>
      <c r="G44" s="30">
        <f t="shared" si="10"/>
        <v>13860</v>
      </c>
      <c r="H44" s="29">
        <v>6000</v>
      </c>
      <c r="I44" s="29">
        <v>2000</v>
      </c>
      <c r="J44" s="31">
        <f t="shared" si="11"/>
        <v>6.5449999999999999</v>
      </c>
      <c r="K44" s="31">
        <f t="shared" si="12"/>
        <v>4.3120000000000003</v>
      </c>
      <c r="L44" s="32" t="s">
        <v>70</v>
      </c>
      <c r="M44" s="33">
        <v>12.89</v>
      </c>
      <c r="N44" s="63">
        <v>0.12</v>
      </c>
      <c r="O44" s="34">
        <f t="shared" si="13"/>
        <v>0.6</v>
      </c>
      <c r="P44" s="53">
        <f t="shared" si="0"/>
        <v>7.73</v>
      </c>
      <c r="Q44" s="34">
        <f t="shared" si="16"/>
        <v>2.319</v>
      </c>
      <c r="R44" s="35">
        <f t="shared" si="14"/>
        <v>10.048999999999999</v>
      </c>
      <c r="S44" s="35">
        <f t="shared" si="17"/>
        <v>20.905999999999999</v>
      </c>
      <c r="T44">
        <v>20.53989846</v>
      </c>
      <c r="U44" s="72">
        <f t="shared" si="8"/>
        <v>-1.7823921608617344E-2</v>
      </c>
      <c r="W44" s="48">
        <v>3000</v>
      </c>
    </row>
    <row r="45" spans="1:23" x14ac:dyDescent="0.2">
      <c r="B45" s="27"/>
      <c r="C45" s="37" t="s">
        <v>51</v>
      </c>
      <c r="D45" s="50">
        <v>6</v>
      </c>
      <c r="E45" s="48">
        <v>1115</v>
      </c>
      <c r="F45" s="29">
        <f t="shared" si="9"/>
        <v>17171</v>
      </c>
      <c r="G45" s="30">
        <f t="shared" si="10"/>
        <v>5151.3</v>
      </c>
      <c r="H45" s="29">
        <v>6000</v>
      </c>
      <c r="I45" s="29">
        <v>2000</v>
      </c>
      <c r="J45" s="31">
        <f t="shared" si="11"/>
        <v>2.4325583333333336</v>
      </c>
      <c r="K45" s="31">
        <f t="shared" si="12"/>
        <v>1.6026266666666669</v>
      </c>
      <c r="L45" s="32" t="s">
        <v>70</v>
      </c>
      <c r="M45" s="33">
        <v>12.89</v>
      </c>
      <c r="N45" s="63">
        <v>0.12</v>
      </c>
      <c r="O45" s="34">
        <f t="shared" si="13"/>
        <v>0.72</v>
      </c>
      <c r="P45" s="53">
        <f t="shared" si="0"/>
        <v>9.2799999999999994</v>
      </c>
      <c r="Q45" s="34">
        <f t="shared" si="16"/>
        <v>2.7839999999999998</v>
      </c>
      <c r="R45" s="35">
        <f t="shared" si="14"/>
        <v>12.064</v>
      </c>
      <c r="S45" s="35">
        <f t="shared" si="17"/>
        <v>16.099185000000002</v>
      </c>
      <c r="T45">
        <v>15.507407651299999</v>
      </c>
      <c r="U45" s="72">
        <f t="shared" si="8"/>
        <v>-3.8160946175319843E-2</v>
      </c>
      <c r="W45" s="48">
        <v>1115</v>
      </c>
    </row>
    <row r="46" spans="1:23" x14ac:dyDescent="0.2">
      <c r="B46" s="55"/>
      <c r="C46" s="37" t="s">
        <v>58</v>
      </c>
      <c r="D46" s="50">
        <v>3</v>
      </c>
      <c r="E46" s="48"/>
      <c r="F46" s="29">
        <f t="shared" si="9"/>
        <v>0</v>
      </c>
      <c r="G46" s="30">
        <f t="shared" si="10"/>
        <v>0</v>
      </c>
      <c r="H46" s="29">
        <v>10000</v>
      </c>
      <c r="I46" s="29">
        <v>2000</v>
      </c>
      <c r="J46" s="31">
        <f t="shared" si="11"/>
        <v>0</v>
      </c>
      <c r="K46" s="31">
        <f t="shared" si="12"/>
        <v>0</v>
      </c>
      <c r="L46" s="32" t="s">
        <v>70</v>
      </c>
      <c r="M46" s="33">
        <v>12.89</v>
      </c>
      <c r="N46" s="63">
        <v>0.12</v>
      </c>
      <c r="O46" s="34">
        <f t="shared" si="13"/>
        <v>0.36</v>
      </c>
      <c r="P46" s="53">
        <f t="shared" si="0"/>
        <v>4.6399999999999997</v>
      </c>
      <c r="Q46" s="34">
        <f t="shared" si="16"/>
        <v>1.3919999999999999</v>
      </c>
      <c r="R46" s="35">
        <f t="shared" si="14"/>
        <v>6.032</v>
      </c>
      <c r="S46" s="35">
        <f t="shared" si="17"/>
        <v>6.032</v>
      </c>
      <c r="T46">
        <v>6.3</v>
      </c>
      <c r="U46" s="72">
        <f t="shared" si="8"/>
        <v>4.2539682539682544E-2</v>
      </c>
      <c r="W46" s="48"/>
    </row>
    <row r="47" spans="1:23" x14ac:dyDescent="0.2">
      <c r="B47" s="55"/>
      <c r="C47" s="37" t="s">
        <v>57</v>
      </c>
      <c r="D47" s="50">
        <v>74</v>
      </c>
      <c r="E47" s="48">
        <v>88000</v>
      </c>
      <c r="F47" s="29">
        <f t="shared" si="9"/>
        <v>1355200</v>
      </c>
      <c r="G47" s="30">
        <f t="shared" si="10"/>
        <v>406560</v>
      </c>
      <c r="H47" s="29">
        <v>10000</v>
      </c>
      <c r="I47" s="29">
        <v>2000</v>
      </c>
      <c r="J47" s="31">
        <f t="shared" si="11"/>
        <v>128.744</v>
      </c>
      <c r="K47" s="31">
        <f t="shared" si="12"/>
        <v>75.891200000000012</v>
      </c>
      <c r="L47" s="32" t="s">
        <v>70</v>
      </c>
      <c r="M47" s="33">
        <v>12.89</v>
      </c>
      <c r="N47" s="63">
        <v>0.12</v>
      </c>
      <c r="O47" s="34">
        <f t="shared" si="13"/>
        <v>8.879999999999999</v>
      </c>
      <c r="P47" s="53">
        <f t="shared" si="0"/>
        <v>114.46</v>
      </c>
      <c r="Q47" s="34">
        <f t="shared" si="16"/>
        <v>34.337999999999994</v>
      </c>
      <c r="R47" s="35">
        <f t="shared" si="14"/>
        <v>148.798</v>
      </c>
      <c r="S47" s="35">
        <f t="shared" si="17"/>
        <v>353.43320000000006</v>
      </c>
      <c r="T47">
        <v>337.55020000000002</v>
      </c>
      <c r="U47" s="72">
        <f t="shared" si="8"/>
        <v>-4.7053741932311155E-2</v>
      </c>
      <c r="W47" s="48">
        <v>88000</v>
      </c>
    </row>
    <row r="48" spans="1:23" x14ac:dyDescent="0.2">
      <c r="B48" s="27"/>
      <c r="C48" s="52" t="s">
        <v>60</v>
      </c>
      <c r="D48" s="50">
        <v>14</v>
      </c>
      <c r="E48" s="48">
        <v>49000</v>
      </c>
      <c r="F48" s="29">
        <f t="shared" si="9"/>
        <v>754600</v>
      </c>
      <c r="G48" s="30">
        <f t="shared" si="10"/>
        <v>226380</v>
      </c>
      <c r="H48" s="29">
        <v>10000</v>
      </c>
      <c r="I48" s="29">
        <v>2000</v>
      </c>
      <c r="J48" s="31">
        <f t="shared" si="11"/>
        <v>71.686999999999998</v>
      </c>
      <c r="K48" s="31">
        <f t="shared" si="12"/>
        <v>42.257600000000004</v>
      </c>
      <c r="L48" s="32" t="s">
        <v>70</v>
      </c>
      <c r="M48" s="33">
        <v>12.89</v>
      </c>
      <c r="N48" s="63">
        <v>0.12</v>
      </c>
      <c r="O48" s="34">
        <f t="shared" si="13"/>
        <v>1.68</v>
      </c>
      <c r="P48" s="53">
        <f t="shared" si="0"/>
        <v>21.66</v>
      </c>
      <c r="Q48" s="34">
        <f t="shared" si="16"/>
        <v>6.4980000000000002</v>
      </c>
      <c r="R48" s="35">
        <f t="shared" si="14"/>
        <v>28.158000000000001</v>
      </c>
      <c r="S48" s="35">
        <f t="shared" si="17"/>
        <v>142.1026</v>
      </c>
      <c r="T48">
        <v>135.35409999999999</v>
      </c>
      <c r="U48" s="72">
        <f t="shared" si="8"/>
        <v>-4.9858112905335039E-2</v>
      </c>
      <c r="W48" s="48">
        <v>49000</v>
      </c>
    </row>
    <row r="49" spans="1:23" x14ac:dyDescent="0.2">
      <c r="B49" s="55"/>
      <c r="C49" s="37" t="s">
        <v>64</v>
      </c>
      <c r="D49" s="50">
        <v>215</v>
      </c>
      <c r="E49" s="48">
        <v>600000</v>
      </c>
      <c r="F49" s="29">
        <f t="shared" si="9"/>
        <v>9240000</v>
      </c>
      <c r="G49" s="30">
        <f t="shared" si="10"/>
        <v>2772000</v>
      </c>
      <c r="H49" s="29">
        <v>12000</v>
      </c>
      <c r="I49" s="29">
        <v>2000</v>
      </c>
      <c r="J49" s="31">
        <f t="shared" si="11"/>
        <v>770</v>
      </c>
      <c r="K49" s="31">
        <f t="shared" si="12"/>
        <v>431.20000000000005</v>
      </c>
      <c r="L49" s="32" t="s">
        <v>70</v>
      </c>
      <c r="M49" s="33">
        <v>12.89</v>
      </c>
      <c r="N49" s="63">
        <v>0.12</v>
      </c>
      <c r="O49" s="34">
        <f t="shared" si="13"/>
        <v>25.8</v>
      </c>
      <c r="P49" s="53">
        <f t="shared" si="0"/>
        <v>332.56</v>
      </c>
      <c r="Q49" s="34">
        <f t="shared" si="16"/>
        <v>99.768000000000001</v>
      </c>
      <c r="R49" s="35">
        <f t="shared" si="14"/>
        <v>432.32799999999997</v>
      </c>
      <c r="S49" s="35">
        <f t="shared" si="17"/>
        <v>1633.528</v>
      </c>
      <c r="T49">
        <v>1547.6025</v>
      </c>
      <c r="U49" s="72">
        <f t="shared" si="8"/>
        <v>-5.5521685962642175E-2</v>
      </c>
      <c r="W49" s="48">
        <v>600000</v>
      </c>
    </row>
    <row r="50" spans="1:23" x14ac:dyDescent="0.2">
      <c r="B50" s="27"/>
      <c r="C50" s="37" t="s">
        <v>49</v>
      </c>
      <c r="D50" s="50">
        <v>156</v>
      </c>
      <c r="E50" s="48">
        <v>197000</v>
      </c>
      <c r="F50" s="29">
        <f t="shared" si="9"/>
        <v>3033800</v>
      </c>
      <c r="G50" s="30">
        <f t="shared" si="10"/>
        <v>910140</v>
      </c>
      <c r="H50" s="29">
        <v>10000</v>
      </c>
      <c r="I50" s="29">
        <v>2000</v>
      </c>
      <c r="J50" s="31">
        <f t="shared" si="11"/>
        <v>288.21100000000001</v>
      </c>
      <c r="K50" s="31">
        <f t="shared" si="12"/>
        <v>169.89280000000002</v>
      </c>
      <c r="L50" s="32" t="s">
        <v>70</v>
      </c>
      <c r="M50" s="33">
        <v>12.89</v>
      </c>
      <c r="N50" s="63">
        <v>0.12</v>
      </c>
      <c r="O50" s="34">
        <f t="shared" si="13"/>
        <v>18.72</v>
      </c>
      <c r="P50" s="53">
        <f t="shared" si="0"/>
        <v>241.3</v>
      </c>
      <c r="Q50" s="34">
        <f t="shared" si="16"/>
        <v>72.39</v>
      </c>
      <c r="R50" s="35">
        <f t="shared" si="14"/>
        <v>313.69</v>
      </c>
      <c r="S50" s="35">
        <f t="shared" si="17"/>
        <v>771.79380000000003</v>
      </c>
      <c r="T50">
        <v>736.97630000000004</v>
      </c>
      <c r="U50" s="72">
        <f t="shared" si="8"/>
        <v>-4.7243717335279323E-2</v>
      </c>
      <c r="W50" s="48">
        <v>197000</v>
      </c>
    </row>
    <row r="51" spans="1:23" x14ac:dyDescent="0.2">
      <c r="B51" s="55"/>
      <c r="C51" s="37" t="s">
        <v>93</v>
      </c>
      <c r="D51" s="50">
        <v>310</v>
      </c>
      <c r="E51" s="48">
        <v>166320</v>
      </c>
      <c r="F51" s="29">
        <f t="shared" si="9"/>
        <v>2561328</v>
      </c>
      <c r="G51" s="30">
        <f t="shared" si="10"/>
        <v>768398.4</v>
      </c>
      <c r="H51" s="29">
        <v>10000</v>
      </c>
      <c r="I51" s="29">
        <v>2000</v>
      </c>
      <c r="J51" s="31">
        <f t="shared" si="11"/>
        <v>243.32616000000002</v>
      </c>
      <c r="K51" s="31">
        <f t="shared" si="12"/>
        <v>143.43436800000003</v>
      </c>
      <c r="L51" s="32" t="s">
        <v>70</v>
      </c>
      <c r="M51" s="33">
        <v>12.89</v>
      </c>
      <c r="N51" s="63">
        <v>0.12</v>
      </c>
      <c r="O51" s="34">
        <f t="shared" si="13"/>
        <v>37.199999999999996</v>
      </c>
      <c r="P51" s="53">
        <f t="shared" si="0"/>
        <v>479.51</v>
      </c>
      <c r="Q51" s="34">
        <f t="shared" si="16"/>
        <v>143.85299999999998</v>
      </c>
      <c r="R51" s="35">
        <f t="shared" si="14"/>
        <v>623.36299999999994</v>
      </c>
      <c r="S51" s="35">
        <f t="shared" si="17"/>
        <v>1010.1235280000001</v>
      </c>
      <c r="T51">
        <v>966.93556799999999</v>
      </c>
      <c r="U51" s="72">
        <f t="shared" si="8"/>
        <v>-4.4664775430000692E-2</v>
      </c>
      <c r="W51" s="48">
        <v>166320</v>
      </c>
    </row>
    <row r="52" spans="1:23" x14ac:dyDescent="0.2">
      <c r="B52" s="55"/>
      <c r="C52" s="37" t="s">
        <v>65</v>
      </c>
      <c r="D52" s="50">
        <v>375</v>
      </c>
      <c r="E52" s="47">
        <v>112381</v>
      </c>
      <c r="F52" s="29">
        <f t="shared" ref="F52" si="18">+E52*$E$21</f>
        <v>1730667.4000000001</v>
      </c>
      <c r="G52" s="30">
        <f t="shared" ref="G52" si="19">+F52*$G$16</f>
        <v>519200.22000000003</v>
      </c>
      <c r="H52" s="29">
        <v>7000</v>
      </c>
      <c r="I52" s="29">
        <v>2000</v>
      </c>
      <c r="J52" s="31">
        <f t="shared" ref="J52" si="20">+(F52-G52)/H52+(F52*0.5*10%)/(I52)</f>
        <v>216.33342500000001</v>
      </c>
      <c r="K52" s="31">
        <f t="shared" ref="K52" si="21">+(F52-G52)/H52*$K$16</f>
        <v>138.45339200000001</v>
      </c>
      <c r="L52" s="32" t="s">
        <v>70</v>
      </c>
      <c r="M52" s="33">
        <v>12.89</v>
      </c>
      <c r="N52" s="63">
        <v>0.12</v>
      </c>
      <c r="O52" s="34">
        <f t="shared" ref="O52" si="22">+N52*D52</f>
        <v>45</v>
      </c>
      <c r="P52" s="53">
        <f t="shared" ref="P52" si="23">ROUND(O52*M52,2)</f>
        <v>580.04999999999995</v>
      </c>
      <c r="Q52" s="34">
        <f t="shared" ref="Q52" si="24">+P52*$Q$16</f>
        <v>174.01499999999999</v>
      </c>
      <c r="R52" s="35">
        <f t="shared" ref="R52" si="25">+P52+Q52</f>
        <v>754.06499999999994</v>
      </c>
      <c r="S52" s="35">
        <f t="shared" ref="S52" si="26">+R52+K52+J52</f>
        <v>1108.851817</v>
      </c>
      <c r="T52">
        <v>604.74894400000005</v>
      </c>
      <c r="U52" s="72">
        <f t="shared" si="8"/>
        <v>-0.83357379620327188</v>
      </c>
      <c r="W52" s="47">
        <v>112381</v>
      </c>
    </row>
    <row r="53" spans="1:23" x14ac:dyDescent="0.2">
      <c r="B53" s="55"/>
      <c r="C53" s="37" t="s">
        <v>87</v>
      </c>
      <c r="D53" s="50"/>
      <c r="E53" s="62"/>
      <c r="F53" s="29">
        <f>+E53*$E$21</f>
        <v>0</v>
      </c>
      <c r="G53" s="30">
        <f>+F53*$G$16</f>
        <v>0</v>
      </c>
      <c r="H53" s="29">
        <v>10000</v>
      </c>
      <c r="I53" s="29">
        <v>2000</v>
      </c>
      <c r="J53" s="31">
        <f>+(F53-G53)/H53+(F53*0.5*10%)/(I53)</f>
        <v>0</v>
      </c>
      <c r="K53" s="31">
        <f>+(F53-G53)/H53*$K$16</f>
        <v>0</v>
      </c>
      <c r="L53" s="32" t="s">
        <v>70</v>
      </c>
      <c r="M53" s="33">
        <v>12.89</v>
      </c>
      <c r="N53" s="63">
        <v>0.12</v>
      </c>
      <c r="O53" s="34">
        <f>+N53*D53</f>
        <v>0</v>
      </c>
      <c r="P53" s="53">
        <f>ROUND(O53*M53,2)</f>
        <v>0</v>
      </c>
      <c r="Q53" s="34">
        <f>+P53*$Q$16</f>
        <v>0</v>
      </c>
      <c r="R53" s="35">
        <f>+P53+Q53</f>
        <v>0</v>
      </c>
      <c r="S53" s="35">
        <f>+R53+K53+J53</f>
        <v>0</v>
      </c>
      <c r="T53">
        <v>10.48</v>
      </c>
      <c r="U53" s="72">
        <f>1-S53/T53</f>
        <v>1</v>
      </c>
      <c r="W53" s="62"/>
    </row>
    <row r="54" spans="1:23" x14ac:dyDescent="0.2">
      <c r="A54" s="26"/>
      <c r="B54" s="55"/>
      <c r="C54" s="56" t="s">
        <v>94</v>
      </c>
      <c r="D54" s="65"/>
      <c r="E54" s="47"/>
      <c r="F54" s="29">
        <f t="shared" ref="F54:F62" si="27">+E54*$E$21</f>
        <v>0</v>
      </c>
      <c r="G54" s="30">
        <f t="shared" ref="G54:G62" si="28">+F54*$G$16</f>
        <v>0</v>
      </c>
      <c r="H54" s="29">
        <v>10000</v>
      </c>
      <c r="I54" s="29">
        <v>2000</v>
      </c>
      <c r="J54" s="31">
        <f t="shared" ref="J54:J62" si="29">+(F54-G54)/H54+(F54*0.5*10%)/(I54)</f>
        <v>0</v>
      </c>
      <c r="K54" s="31">
        <f t="shared" ref="K54:K62" si="30">+(F54-G54)/H54*$K$16</f>
        <v>0</v>
      </c>
      <c r="L54" s="32" t="s">
        <v>70</v>
      </c>
      <c r="M54" s="33">
        <v>12.89</v>
      </c>
      <c r="N54" s="63">
        <v>0.12</v>
      </c>
      <c r="O54" s="34">
        <f t="shared" ref="O54:O62" si="31">+N54*D54</f>
        <v>0</v>
      </c>
      <c r="P54" s="53">
        <f t="shared" ref="P54:P62" si="32">ROUND(O54*M54,2)</f>
        <v>0</v>
      </c>
      <c r="Q54" s="34">
        <f t="shared" ref="Q54:Q62" si="33">+P54*$Q$16</f>
        <v>0</v>
      </c>
      <c r="R54" s="35">
        <f t="shared" ref="R54:R62" si="34">+P54+Q54</f>
        <v>0</v>
      </c>
      <c r="S54" s="35">
        <f t="shared" ref="S54:S62" si="35">+R54+K54+J54</f>
        <v>0</v>
      </c>
      <c r="T54">
        <v>949.9</v>
      </c>
      <c r="U54" s="72">
        <f t="shared" si="8"/>
        <v>1</v>
      </c>
      <c r="W54" s="47"/>
    </row>
    <row r="55" spans="1:23" x14ac:dyDescent="0.2">
      <c r="A55" s="26"/>
      <c r="B55" s="55"/>
      <c r="C55" s="56" t="s">
        <v>95</v>
      </c>
      <c r="D55" s="65"/>
      <c r="E55" s="47"/>
      <c r="F55" s="29">
        <f t="shared" si="27"/>
        <v>0</v>
      </c>
      <c r="G55" s="30">
        <f t="shared" si="28"/>
        <v>0</v>
      </c>
      <c r="H55" s="29">
        <v>10000</v>
      </c>
      <c r="I55" s="29">
        <v>2000</v>
      </c>
      <c r="J55" s="31">
        <f t="shared" si="29"/>
        <v>0</v>
      </c>
      <c r="K55" s="31">
        <f t="shared" si="30"/>
        <v>0</v>
      </c>
      <c r="L55" s="32" t="s">
        <v>70</v>
      </c>
      <c r="M55" s="33">
        <v>12.89</v>
      </c>
      <c r="N55" s="63">
        <v>0.12</v>
      </c>
      <c r="O55" s="34">
        <f t="shared" si="31"/>
        <v>0</v>
      </c>
      <c r="P55" s="53">
        <f t="shared" si="32"/>
        <v>0</v>
      </c>
      <c r="Q55" s="34">
        <f t="shared" si="33"/>
        <v>0</v>
      </c>
      <c r="R55" s="35">
        <f t="shared" si="34"/>
        <v>0</v>
      </c>
      <c r="S55" s="35">
        <f t="shared" si="35"/>
        <v>0</v>
      </c>
      <c r="T55">
        <v>1551.05</v>
      </c>
      <c r="U55" s="72">
        <f t="shared" si="8"/>
        <v>1</v>
      </c>
      <c r="W55" s="47"/>
    </row>
    <row r="56" spans="1:23" x14ac:dyDescent="0.2">
      <c r="A56" s="26"/>
      <c r="B56" s="55"/>
      <c r="C56" s="56" t="s">
        <v>96</v>
      </c>
      <c r="D56" s="57"/>
      <c r="E56" s="47"/>
      <c r="F56" s="29">
        <f t="shared" si="27"/>
        <v>0</v>
      </c>
      <c r="G56" s="30">
        <f t="shared" si="28"/>
        <v>0</v>
      </c>
      <c r="H56" s="29">
        <v>10000</v>
      </c>
      <c r="I56" s="29">
        <v>2000</v>
      </c>
      <c r="J56" s="31">
        <f t="shared" si="29"/>
        <v>0</v>
      </c>
      <c r="K56" s="31">
        <f t="shared" si="30"/>
        <v>0</v>
      </c>
      <c r="L56" s="32" t="s">
        <v>70</v>
      </c>
      <c r="M56" s="33">
        <v>12.89</v>
      </c>
      <c r="N56" s="63">
        <v>0.12</v>
      </c>
      <c r="O56" s="34">
        <f t="shared" si="31"/>
        <v>0</v>
      </c>
      <c r="P56" s="53">
        <f t="shared" si="32"/>
        <v>0</v>
      </c>
      <c r="Q56" s="34">
        <f t="shared" si="33"/>
        <v>0</v>
      </c>
      <c r="R56" s="35">
        <f t="shared" si="34"/>
        <v>0</v>
      </c>
      <c r="S56" s="35">
        <f t="shared" si="35"/>
        <v>0</v>
      </c>
      <c r="T56">
        <v>2176.48</v>
      </c>
      <c r="U56" s="72">
        <f t="shared" si="8"/>
        <v>1</v>
      </c>
      <c r="W56" s="47"/>
    </row>
    <row r="57" spans="1:23" ht="12.75" customHeight="1" x14ac:dyDescent="0.2">
      <c r="A57" s="26"/>
      <c r="B57" s="55"/>
      <c r="C57" s="56" t="s">
        <v>97</v>
      </c>
      <c r="D57" s="57"/>
      <c r="E57" s="47"/>
      <c r="F57" s="29">
        <f t="shared" si="27"/>
        <v>0</v>
      </c>
      <c r="G57" s="30">
        <f t="shared" si="28"/>
        <v>0</v>
      </c>
      <c r="H57" s="29">
        <v>10000</v>
      </c>
      <c r="I57" s="29">
        <v>2000</v>
      </c>
      <c r="J57" s="31">
        <f t="shared" si="29"/>
        <v>0</v>
      </c>
      <c r="K57" s="31">
        <f t="shared" si="30"/>
        <v>0</v>
      </c>
      <c r="L57" s="32" t="s">
        <v>70</v>
      </c>
      <c r="M57" s="33">
        <v>12.89</v>
      </c>
      <c r="N57" s="63">
        <v>0.12</v>
      </c>
      <c r="O57" s="34">
        <f t="shared" si="31"/>
        <v>0</v>
      </c>
      <c r="P57" s="53">
        <f t="shared" si="32"/>
        <v>0</v>
      </c>
      <c r="Q57" s="34">
        <f t="shared" si="33"/>
        <v>0</v>
      </c>
      <c r="R57" s="35">
        <f t="shared" si="34"/>
        <v>0</v>
      </c>
      <c r="S57" s="35">
        <f t="shared" si="35"/>
        <v>0</v>
      </c>
      <c r="T57">
        <v>2316.41</v>
      </c>
      <c r="U57" s="72">
        <f t="shared" si="8"/>
        <v>1</v>
      </c>
      <c r="W57" s="47"/>
    </row>
    <row r="58" spans="1:23" x14ac:dyDescent="0.2">
      <c r="A58" s="36"/>
      <c r="B58" s="55"/>
      <c r="C58" s="56" t="s">
        <v>98</v>
      </c>
      <c r="D58" s="57"/>
      <c r="E58" s="47"/>
      <c r="F58" s="29">
        <f t="shared" si="27"/>
        <v>0</v>
      </c>
      <c r="G58" s="30">
        <f t="shared" si="28"/>
        <v>0</v>
      </c>
      <c r="H58" s="29">
        <v>10000</v>
      </c>
      <c r="I58" s="29">
        <v>2000</v>
      </c>
      <c r="J58" s="31">
        <f t="shared" si="29"/>
        <v>0</v>
      </c>
      <c r="K58" s="31">
        <f t="shared" si="30"/>
        <v>0</v>
      </c>
      <c r="L58" s="32" t="s">
        <v>70</v>
      </c>
      <c r="M58" s="33">
        <v>12.89</v>
      </c>
      <c r="N58" s="63">
        <v>0.12</v>
      </c>
      <c r="O58" s="34">
        <f t="shared" si="31"/>
        <v>0</v>
      </c>
      <c r="P58" s="53">
        <f t="shared" si="32"/>
        <v>0</v>
      </c>
      <c r="Q58" s="34">
        <f t="shared" si="33"/>
        <v>0</v>
      </c>
      <c r="R58" s="35">
        <f t="shared" si="34"/>
        <v>0</v>
      </c>
      <c r="S58" s="35">
        <f t="shared" si="35"/>
        <v>0</v>
      </c>
      <c r="T58">
        <v>392.7278531</v>
      </c>
      <c r="U58" s="72">
        <f t="shared" si="8"/>
        <v>1</v>
      </c>
      <c r="W58" s="47"/>
    </row>
    <row r="59" spans="1:23" x14ac:dyDescent="0.2">
      <c r="A59" s="36"/>
      <c r="B59" s="55"/>
      <c r="C59" s="56" t="s">
        <v>99</v>
      </c>
      <c r="D59" s="57"/>
      <c r="E59" s="47"/>
      <c r="F59" s="29">
        <f t="shared" si="27"/>
        <v>0</v>
      </c>
      <c r="G59" s="30">
        <f t="shared" si="28"/>
        <v>0</v>
      </c>
      <c r="H59" s="29">
        <v>10000</v>
      </c>
      <c r="I59" s="29">
        <v>2000</v>
      </c>
      <c r="J59" s="31">
        <f t="shared" si="29"/>
        <v>0</v>
      </c>
      <c r="K59" s="31">
        <f t="shared" si="30"/>
        <v>0</v>
      </c>
      <c r="L59" s="32" t="s">
        <v>70</v>
      </c>
      <c r="M59" s="33">
        <v>12.89</v>
      </c>
      <c r="N59" s="63">
        <v>0.12</v>
      </c>
      <c r="O59" s="34">
        <f t="shared" si="31"/>
        <v>0</v>
      </c>
      <c r="P59" s="53">
        <f t="shared" si="32"/>
        <v>0</v>
      </c>
      <c r="Q59" s="34">
        <f t="shared" si="33"/>
        <v>0</v>
      </c>
      <c r="R59" s="35">
        <f t="shared" si="34"/>
        <v>0</v>
      </c>
      <c r="S59" s="35">
        <f t="shared" si="35"/>
        <v>0</v>
      </c>
      <c r="T59">
        <v>267.58999999999997</v>
      </c>
      <c r="U59" s="72">
        <f t="shared" si="8"/>
        <v>1</v>
      </c>
      <c r="W59" s="47"/>
    </row>
    <row r="60" spans="1:23" x14ac:dyDescent="0.2">
      <c r="A60" s="36"/>
      <c r="B60" s="55"/>
      <c r="C60" s="56" t="s">
        <v>100</v>
      </c>
      <c r="D60" s="57"/>
      <c r="E60" s="47"/>
      <c r="F60" s="29">
        <f t="shared" si="27"/>
        <v>0</v>
      </c>
      <c r="G60" s="30">
        <f t="shared" si="28"/>
        <v>0</v>
      </c>
      <c r="H60" s="29">
        <v>10000</v>
      </c>
      <c r="I60" s="29">
        <v>2000</v>
      </c>
      <c r="J60" s="31">
        <f t="shared" si="29"/>
        <v>0</v>
      </c>
      <c r="K60" s="31">
        <f t="shared" si="30"/>
        <v>0</v>
      </c>
      <c r="L60" s="32" t="s">
        <v>70</v>
      </c>
      <c r="M60" s="33">
        <v>12.89</v>
      </c>
      <c r="N60" s="63">
        <v>0.12</v>
      </c>
      <c r="O60" s="34">
        <f t="shared" si="31"/>
        <v>0</v>
      </c>
      <c r="P60" s="53">
        <f t="shared" si="32"/>
        <v>0</v>
      </c>
      <c r="Q60" s="34">
        <f t="shared" si="33"/>
        <v>0</v>
      </c>
      <c r="R60" s="35">
        <f t="shared" si="34"/>
        <v>0</v>
      </c>
      <c r="S60" s="35">
        <f t="shared" si="35"/>
        <v>0</v>
      </c>
      <c r="T60">
        <v>449.23</v>
      </c>
      <c r="U60" s="72">
        <f t="shared" si="8"/>
        <v>1</v>
      </c>
      <c r="W60" s="47"/>
    </row>
    <row r="61" spans="1:23" x14ac:dyDescent="0.2">
      <c r="B61" s="55"/>
      <c r="C61" s="68" t="s">
        <v>101</v>
      </c>
      <c r="D61" s="66"/>
      <c r="E61" s="47"/>
      <c r="F61" s="29">
        <f t="shared" si="27"/>
        <v>0</v>
      </c>
      <c r="G61" s="30">
        <f t="shared" si="28"/>
        <v>0</v>
      </c>
      <c r="H61" s="29">
        <v>10000</v>
      </c>
      <c r="I61" s="29">
        <v>2000</v>
      </c>
      <c r="J61" s="31">
        <f t="shared" si="29"/>
        <v>0</v>
      </c>
      <c r="K61" s="31">
        <f t="shared" si="30"/>
        <v>0</v>
      </c>
      <c r="L61" s="32" t="s">
        <v>70</v>
      </c>
      <c r="M61" s="33">
        <v>12.89</v>
      </c>
      <c r="N61" s="63">
        <v>0.12</v>
      </c>
      <c r="O61" s="34">
        <f t="shared" si="31"/>
        <v>0</v>
      </c>
      <c r="P61" s="53">
        <f t="shared" si="32"/>
        <v>0</v>
      </c>
      <c r="Q61" s="34">
        <f t="shared" si="33"/>
        <v>0</v>
      </c>
      <c r="R61" s="35">
        <f t="shared" si="34"/>
        <v>0</v>
      </c>
      <c r="S61" s="35">
        <f t="shared" si="35"/>
        <v>0</v>
      </c>
      <c r="T61">
        <v>6.41</v>
      </c>
      <c r="U61" s="72">
        <f t="shared" si="8"/>
        <v>1</v>
      </c>
      <c r="W61" s="47"/>
    </row>
    <row r="62" spans="1:23" x14ac:dyDescent="0.2">
      <c r="B62" s="55"/>
      <c r="C62" s="68" t="s">
        <v>56</v>
      </c>
      <c r="D62" s="66">
        <v>5</v>
      </c>
      <c r="E62" s="47">
        <v>29013.84774662424</v>
      </c>
      <c r="F62" s="29">
        <f t="shared" si="27"/>
        <v>446813.25529801333</v>
      </c>
      <c r="G62" s="30">
        <f t="shared" si="28"/>
        <v>134043.97658940399</v>
      </c>
      <c r="H62" s="29">
        <v>10000</v>
      </c>
      <c r="I62" s="29">
        <v>2000</v>
      </c>
      <c r="J62" s="31">
        <f t="shared" si="29"/>
        <v>42.447259253311273</v>
      </c>
      <c r="K62" s="31">
        <f t="shared" si="30"/>
        <v>25.02154229668875</v>
      </c>
      <c r="L62" s="32" t="s">
        <v>70</v>
      </c>
      <c r="M62" s="33">
        <v>12.89</v>
      </c>
      <c r="N62" s="63">
        <v>0.12</v>
      </c>
      <c r="O62" s="34">
        <f t="shared" si="31"/>
        <v>0.6</v>
      </c>
      <c r="P62" s="53">
        <f t="shared" si="32"/>
        <v>7.73</v>
      </c>
      <c r="Q62" s="34">
        <f t="shared" si="33"/>
        <v>2.319</v>
      </c>
      <c r="R62" s="35">
        <f t="shared" si="34"/>
        <v>10.048999999999999</v>
      </c>
      <c r="S62" s="35">
        <f t="shared" si="35"/>
        <v>77.51780155000003</v>
      </c>
      <c r="T62">
        <v>77.517801550000001</v>
      </c>
      <c r="U62" s="72">
        <f t="shared" si="8"/>
        <v>0</v>
      </c>
      <c r="W62" s="47">
        <v>7747</v>
      </c>
    </row>
    <row r="63" spans="1:23" x14ac:dyDescent="0.2">
      <c r="B63" s="55"/>
      <c r="C63" s="68"/>
      <c r="D63" s="66"/>
      <c r="E63" s="47"/>
      <c r="F63" s="29"/>
      <c r="G63" s="30"/>
      <c r="H63" s="29"/>
      <c r="I63" s="29"/>
      <c r="J63" s="31"/>
      <c r="K63" s="31"/>
      <c r="L63" s="32"/>
      <c r="M63" s="33"/>
      <c r="N63" s="63"/>
      <c r="O63" s="34"/>
      <c r="P63" s="53"/>
      <c r="Q63" s="34"/>
      <c r="R63" s="35"/>
      <c r="S63" s="35"/>
    </row>
    <row r="64" spans="1:23" x14ac:dyDescent="0.2">
      <c r="B64" s="55"/>
      <c r="C64" s="68"/>
      <c r="D64" s="66"/>
      <c r="E64" s="47"/>
      <c r="F64" s="29"/>
      <c r="G64" s="30"/>
      <c r="H64" s="29"/>
      <c r="I64" s="29"/>
      <c r="J64" s="31"/>
      <c r="K64" s="31"/>
      <c r="L64" s="32"/>
      <c r="M64" s="33"/>
      <c r="N64" s="63"/>
      <c r="O64" s="34"/>
      <c r="P64" s="53"/>
      <c r="Q64" s="34"/>
      <c r="R64" s="35"/>
      <c r="S64" s="35"/>
    </row>
    <row r="65" spans="1:19" x14ac:dyDescent="0.2">
      <c r="B65" s="55"/>
      <c r="C65" s="68"/>
      <c r="D65" s="66"/>
      <c r="E65" s="47"/>
      <c r="F65" s="29"/>
      <c r="G65" s="30"/>
      <c r="H65" s="29"/>
      <c r="I65" s="29"/>
      <c r="J65" s="31"/>
      <c r="K65" s="31"/>
      <c r="L65" s="32"/>
      <c r="M65" s="33"/>
      <c r="N65" s="63"/>
      <c r="O65" s="34"/>
      <c r="P65" s="53"/>
      <c r="Q65" s="34"/>
      <c r="R65" s="35"/>
      <c r="S65" s="35"/>
    </row>
    <row r="66" spans="1:19" x14ac:dyDescent="0.2">
      <c r="B66" s="55"/>
      <c r="C66" s="68"/>
      <c r="D66" s="66"/>
      <c r="E66" s="47"/>
      <c r="F66" s="29"/>
      <c r="G66" s="30"/>
      <c r="H66" s="29"/>
      <c r="I66" s="29"/>
      <c r="J66" s="31"/>
      <c r="K66" s="31"/>
      <c r="L66" s="32"/>
      <c r="M66" s="33"/>
      <c r="N66" s="63"/>
      <c r="O66" s="34"/>
      <c r="P66" s="53"/>
      <c r="Q66" s="34"/>
      <c r="R66" s="35"/>
      <c r="S66" s="35"/>
    </row>
    <row r="67" spans="1:19" x14ac:dyDescent="0.2">
      <c r="B67" s="55"/>
      <c r="C67" s="68"/>
      <c r="D67" s="66"/>
      <c r="E67" s="47"/>
      <c r="F67" s="29"/>
      <c r="G67" s="30"/>
      <c r="H67" s="29"/>
      <c r="I67" s="29"/>
      <c r="J67" s="31"/>
      <c r="K67" s="31"/>
      <c r="L67" s="32"/>
      <c r="M67" s="33"/>
      <c r="N67" s="63"/>
      <c r="O67" s="34"/>
      <c r="P67" s="53"/>
      <c r="Q67" s="34"/>
      <c r="R67" s="35"/>
      <c r="S67" s="35"/>
    </row>
    <row r="68" spans="1:19" x14ac:dyDescent="0.2">
      <c r="A68" s="36"/>
      <c r="B68" s="55"/>
      <c r="C68" s="56"/>
      <c r="D68" s="67"/>
      <c r="E68" s="69"/>
      <c r="F68" s="70"/>
      <c r="G68" s="59"/>
      <c r="H68" s="58"/>
      <c r="I68" s="58"/>
      <c r="J68" s="53"/>
      <c r="K68" s="53"/>
      <c r="L68" s="60"/>
      <c r="M68" s="57"/>
      <c r="N68" s="71"/>
      <c r="O68" s="53"/>
      <c r="P68" s="53"/>
      <c r="Q68" s="53"/>
      <c r="R68" s="61"/>
      <c r="S68" s="61"/>
    </row>
    <row r="69" spans="1:19" x14ac:dyDescent="0.2">
      <c r="A69" s="36"/>
      <c r="B69" s="55"/>
      <c r="C69" s="56"/>
      <c r="D69" s="57"/>
      <c r="E69" s="69"/>
      <c r="F69" s="70"/>
      <c r="G69" s="59"/>
      <c r="H69" s="58"/>
      <c r="I69" s="58"/>
      <c r="J69" s="53"/>
      <c r="K69" s="53"/>
      <c r="L69" s="60"/>
      <c r="M69" s="57"/>
      <c r="N69" s="71"/>
      <c r="O69" s="53"/>
      <c r="P69" s="53"/>
      <c r="Q69" s="53"/>
      <c r="R69" s="61"/>
      <c r="S69" s="61"/>
    </row>
    <row r="71" spans="1:19" x14ac:dyDescent="0.2">
      <c r="A71" s="64"/>
      <c r="B71" s="64" t="s">
        <v>73</v>
      </c>
    </row>
    <row r="78" spans="1:19" x14ac:dyDescent="0.2">
      <c r="C78" t="s">
        <v>54</v>
      </c>
      <c r="D78">
        <v>931.72649999999999</v>
      </c>
    </row>
    <row r="79" spans="1:19" x14ac:dyDescent="0.2">
      <c r="C79" t="s">
        <v>77</v>
      </c>
      <c r="D79">
        <v>12.89</v>
      </c>
    </row>
    <row r="80" spans="1:19" x14ac:dyDescent="0.2">
      <c r="C80" t="s">
        <v>52</v>
      </c>
      <c r="D80">
        <v>410.48728019999999</v>
      </c>
    </row>
    <row r="81" spans="3:4" x14ac:dyDescent="0.2">
      <c r="C81" t="s">
        <v>53</v>
      </c>
      <c r="D81">
        <v>5.2506300000000001</v>
      </c>
    </row>
    <row r="82" spans="3:4" x14ac:dyDescent="0.2">
      <c r="C82" t="s">
        <v>55</v>
      </c>
      <c r="D82">
        <v>1640.8150000000001</v>
      </c>
    </row>
    <row r="83" spans="3:4" x14ac:dyDescent="0.2">
      <c r="C83" t="s">
        <v>63</v>
      </c>
      <c r="D83">
        <v>583.39279999999997</v>
      </c>
    </row>
    <row r="84" spans="3:4" x14ac:dyDescent="0.2">
      <c r="C84" t="s">
        <v>75</v>
      </c>
      <c r="D84">
        <v>953.68399999999997</v>
      </c>
    </row>
    <row r="85" spans="3:4" x14ac:dyDescent="0.2">
      <c r="C85" t="s">
        <v>78</v>
      </c>
      <c r="D85">
        <v>411.92231249999998</v>
      </c>
    </row>
    <row r="86" spans="3:4" x14ac:dyDescent="0.2">
      <c r="C86" t="s">
        <v>79</v>
      </c>
      <c r="D86">
        <v>235.73835</v>
      </c>
    </row>
    <row r="87" spans="3:4" x14ac:dyDescent="0.2">
      <c r="C87" t="s">
        <v>80</v>
      </c>
      <c r="D87">
        <v>363.161563</v>
      </c>
    </row>
    <row r="88" spans="3:4" x14ac:dyDescent="0.2">
      <c r="C88" t="s">
        <v>66</v>
      </c>
      <c r="D88">
        <v>411.92231249999998</v>
      </c>
    </row>
    <row r="89" spans="3:4" x14ac:dyDescent="0.2">
      <c r="C89" t="s">
        <v>81</v>
      </c>
      <c r="D89">
        <v>454.76667049999998</v>
      </c>
    </row>
    <row r="90" spans="3:4" x14ac:dyDescent="0.2">
      <c r="C90" t="s">
        <v>82</v>
      </c>
      <c r="D90">
        <v>390.89311300000003</v>
      </c>
    </row>
    <row r="91" spans="3:4" x14ac:dyDescent="0.2">
      <c r="C91" t="s">
        <v>83</v>
      </c>
      <c r="D91">
        <v>1.9357099</v>
      </c>
    </row>
    <row r="92" spans="3:4" x14ac:dyDescent="0.2">
      <c r="C92" t="s">
        <v>84</v>
      </c>
      <c r="D92">
        <v>132.58750000000001</v>
      </c>
    </row>
    <row r="93" spans="3:4" x14ac:dyDescent="0.2">
      <c r="C93" t="s">
        <v>85</v>
      </c>
      <c r="D93">
        <v>275.48305399999998</v>
      </c>
    </row>
    <row r="94" spans="3:4" x14ac:dyDescent="0.2">
      <c r="C94" t="s">
        <v>61</v>
      </c>
      <c r="D94">
        <v>530.35</v>
      </c>
    </row>
    <row r="95" spans="3:4" x14ac:dyDescent="0.2">
      <c r="C95" t="s">
        <v>86</v>
      </c>
      <c r="D95">
        <v>636.1345</v>
      </c>
    </row>
    <row r="96" spans="3:4" x14ac:dyDescent="0.2">
      <c r="C96" t="s">
        <v>87</v>
      </c>
      <c r="D96">
        <v>10.48</v>
      </c>
    </row>
    <row r="97" spans="3:4" x14ac:dyDescent="0.2">
      <c r="C97" t="s">
        <v>88</v>
      </c>
      <c r="D97">
        <v>665.89</v>
      </c>
    </row>
    <row r="98" spans="3:4" x14ac:dyDescent="0.2">
      <c r="C98" t="s">
        <v>62</v>
      </c>
      <c r="D98">
        <v>344.17599999999999</v>
      </c>
    </row>
    <row r="99" spans="3:4" x14ac:dyDescent="0.2">
      <c r="C99" t="s">
        <v>59</v>
      </c>
      <c r="D99">
        <v>370.77992840000002</v>
      </c>
    </row>
    <row r="100" spans="3:4" x14ac:dyDescent="0.2">
      <c r="C100" t="s">
        <v>50</v>
      </c>
      <c r="D100">
        <v>516.81679999999994</v>
      </c>
    </row>
    <row r="101" spans="3:4" x14ac:dyDescent="0.2">
      <c r="C101" t="s">
        <v>68</v>
      </c>
      <c r="D101">
        <v>431.13524000000001</v>
      </c>
    </row>
    <row r="102" spans="3:4" x14ac:dyDescent="0.2">
      <c r="C102" t="s">
        <v>67</v>
      </c>
      <c r="D102">
        <v>1240.5545</v>
      </c>
    </row>
    <row r="103" spans="3:4" x14ac:dyDescent="0.2">
      <c r="C103" t="s">
        <v>69</v>
      </c>
      <c r="D103">
        <v>1367.335</v>
      </c>
    </row>
    <row r="104" spans="3:4" x14ac:dyDescent="0.2">
      <c r="C104" t="s">
        <v>89</v>
      </c>
      <c r="D104">
        <v>20.53989846</v>
      </c>
    </row>
    <row r="105" spans="3:4" x14ac:dyDescent="0.2">
      <c r="C105" t="s">
        <v>51</v>
      </c>
      <c r="D105">
        <v>15.507407651299999</v>
      </c>
    </row>
    <row r="106" spans="3:4" x14ac:dyDescent="0.2">
      <c r="C106" t="s">
        <v>58</v>
      </c>
      <c r="D106">
        <v>6.3</v>
      </c>
    </row>
    <row r="107" spans="3:4" x14ac:dyDescent="0.2">
      <c r="C107" t="s">
        <v>90</v>
      </c>
      <c r="D107">
        <v>14</v>
      </c>
    </row>
    <row r="108" spans="3:4" x14ac:dyDescent="0.2">
      <c r="C108" t="s">
        <v>57</v>
      </c>
      <c r="D108">
        <v>337.55020000000002</v>
      </c>
    </row>
    <row r="109" spans="3:4" x14ac:dyDescent="0.2">
      <c r="C109" t="s">
        <v>60</v>
      </c>
      <c r="D109">
        <v>135.35409999999999</v>
      </c>
    </row>
    <row r="110" spans="3:4" x14ac:dyDescent="0.2">
      <c r="C110" t="s">
        <v>64</v>
      </c>
      <c r="D110">
        <v>1547.6025</v>
      </c>
    </row>
    <row r="111" spans="3:4" x14ac:dyDescent="0.2">
      <c r="C111" t="s">
        <v>49</v>
      </c>
      <c r="D111">
        <v>736.97630000000004</v>
      </c>
    </row>
    <row r="112" spans="3:4" x14ac:dyDescent="0.2">
      <c r="C112" t="s">
        <v>91</v>
      </c>
      <c r="D112">
        <v>28492.5671428571</v>
      </c>
    </row>
    <row r="113" spans="3:4" x14ac:dyDescent="0.2">
      <c r="C113" t="s">
        <v>92</v>
      </c>
      <c r="D113">
        <v>18248.490000000002</v>
      </c>
    </row>
    <row r="114" spans="3:4" x14ac:dyDescent="0.2">
      <c r="C114" t="s">
        <v>93</v>
      </c>
      <c r="D114">
        <v>966.93556799999999</v>
      </c>
    </row>
    <row r="115" spans="3:4" x14ac:dyDescent="0.2">
      <c r="C115" t="s">
        <v>65</v>
      </c>
      <c r="D115">
        <v>604.74894400000005</v>
      </c>
    </row>
    <row r="116" spans="3:4" x14ac:dyDescent="0.2">
      <c r="C116" t="s">
        <v>94</v>
      </c>
      <c r="D116">
        <v>949.9</v>
      </c>
    </row>
    <row r="117" spans="3:4" x14ac:dyDescent="0.2">
      <c r="C117" t="s">
        <v>95</v>
      </c>
      <c r="D117">
        <v>1551.05</v>
      </c>
    </row>
    <row r="118" spans="3:4" x14ac:dyDescent="0.2">
      <c r="C118" t="s">
        <v>96</v>
      </c>
      <c r="D118">
        <v>2176.48</v>
      </c>
    </row>
    <row r="119" spans="3:4" x14ac:dyDescent="0.2">
      <c r="C119" t="s">
        <v>97</v>
      </c>
      <c r="D119">
        <v>2316.41</v>
      </c>
    </row>
    <row r="120" spans="3:4" x14ac:dyDescent="0.2">
      <c r="C120" t="s">
        <v>98</v>
      </c>
      <c r="D120">
        <v>392.7278531</v>
      </c>
    </row>
    <row r="121" spans="3:4" x14ac:dyDescent="0.2">
      <c r="C121" t="s">
        <v>99</v>
      </c>
      <c r="D121">
        <v>267.58999999999997</v>
      </c>
    </row>
    <row r="122" spans="3:4" x14ac:dyDescent="0.2">
      <c r="C122" t="s">
        <v>100</v>
      </c>
      <c r="D122">
        <v>449.23</v>
      </c>
    </row>
    <row r="123" spans="3:4" x14ac:dyDescent="0.2">
      <c r="C123" t="s">
        <v>101</v>
      </c>
      <c r="D123">
        <v>6.41</v>
      </c>
    </row>
    <row r="124" spans="3:4" x14ac:dyDescent="0.2">
      <c r="C124" t="s">
        <v>56</v>
      </c>
      <c r="D124">
        <v>77.517801550000001</v>
      </c>
    </row>
  </sheetData>
  <mergeCells count="18">
    <mergeCell ref="O18:O19"/>
    <mergeCell ref="P18:P19"/>
    <mergeCell ref="W17:W19"/>
    <mergeCell ref="B10:R10"/>
    <mergeCell ref="B17:B19"/>
    <mergeCell ref="F17:F19"/>
    <mergeCell ref="G17:G18"/>
    <mergeCell ref="H17:H19"/>
    <mergeCell ref="I17:I19"/>
    <mergeCell ref="J17:J19"/>
    <mergeCell ref="K17:K18"/>
    <mergeCell ref="L17:P17"/>
    <mergeCell ref="Q17:Q18"/>
    <mergeCell ref="E17:E19"/>
    <mergeCell ref="R17:R18"/>
    <mergeCell ref="S17:S18"/>
    <mergeCell ref="L18:L19"/>
    <mergeCell ref="M18:M19"/>
  </mergeCells>
  <conditionalFormatting sqref="N22">
    <cfRule type="cellIs" dxfId="6" priority="38" stopIfTrue="1" operator="notEqual">
      <formula>0.12</formula>
    </cfRule>
  </conditionalFormatting>
  <conditionalFormatting sqref="N24">
    <cfRule type="cellIs" dxfId="5" priority="34" stopIfTrue="1" operator="notEqual">
      <formula>0.12</formula>
    </cfRule>
  </conditionalFormatting>
  <conditionalFormatting sqref="N25">
    <cfRule type="cellIs" dxfId="4" priority="33" stopIfTrue="1" operator="notEqual">
      <formula>0.12</formula>
    </cfRule>
  </conditionalFormatting>
  <conditionalFormatting sqref="N28">
    <cfRule type="cellIs" dxfId="3" priority="31" stopIfTrue="1" operator="notEqual">
      <formula>0.12</formula>
    </cfRule>
  </conditionalFormatting>
  <conditionalFormatting sqref="N29">
    <cfRule type="cellIs" dxfId="2" priority="30" stopIfTrue="1" operator="notEqual">
      <formula>0.12</formula>
    </cfRule>
  </conditionalFormatting>
  <conditionalFormatting sqref="N30">
    <cfRule type="cellIs" dxfId="1" priority="28" stopIfTrue="1" operator="notEqual">
      <formula>0.12</formula>
    </cfRule>
  </conditionalFormatting>
  <conditionalFormatting sqref="N51">
    <cfRule type="cellIs" dxfId="0" priority="1" stopIfTrue="1" operator="notEqual">
      <formula>0.12</formula>
    </cfRule>
  </conditionalFormatting>
  <printOptions horizontalCentered="1"/>
  <pageMargins left="0" right="0" top="0" bottom="0" header="0" footer="0"/>
  <pageSetup paperSize="9" scale="62" orientation="landscape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Eq</vt:lpstr>
      <vt:lpstr>Eq!Área_de_impresión</vt:lpstr>
      <vt:lpstr>equi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Lambraño Carlos</dc:creator>
  <cp:lastModifiedBy>Christian Sosa</cp:lastModifiedBy>
  <cp:lastPrinted>2016-11-03T15:44:25Z</cp:lastPrinted>
  <dcterms:created xsi:type="dcterms:W3CDTF">2016-10-26T18:40:05Z</dcterms:created>
  <dcterms:modified xsi:type="dcterms:W3CDTF">2016-11-17T15:01:48Z</dcterms:modified>
</cp:coreProperties>
</file>